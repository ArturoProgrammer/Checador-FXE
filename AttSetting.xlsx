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enegas_e\source\repos\Checador FXE\"/>
    </mc:Choice>
  </mc:AlternateContent>
  <xr:revisionPtr revIDLastSave="0" documentId="13_ncr:9_{27D75D7C-AC99-4757-ADFB-63B58F0FFDD6}" xr6:coauthVersionLast="47" xr6:coauthVersionMax="47" xr10:uidLastSave="{00000000-0000-0000-0000-000000000000}"/>
  <bookViews>
    <workbookView xWindow="-109" yWindow="-109" windowWidth="34995" windowHeight="19060" activeTab="1" xr2:uid="{57F19D49-020E-436C-AEB8-9111F0F14205}"/>
  </bookViews>
  <sheets>
    <sheet name="Ajuste de Horarios" sheetId="1" r:id="rId1"/>
    <sheet name="Ajuste de Turn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5" i="2" l="1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</calcChain>
</file>

<file path=xl/sharedStrings.xml><?xml version="1.0" encoding="utf-8"?>
<sst xmlns="http://schemas.openxmlformats.org/spreadsheetml/2006/main" count="74" uniqueCount="54">
  <si>
    <t>Ajuste de Horarios</t>
  </si>
  <si>
    <t>Horarios</t>
  </si>
  <si>
    <t>Número</t>
  </si>
  <si>
    <t>Primer Horario</t>
  </si>
  <si>
    <t>Segundo Horario</t>
  </si>
  <si>
    <t>Tiempo Extra</t>
  </si>
  <si>
    <t>Entrada</t>
  </si>
  <si>
    <t>Salida</t>
  </si>
  <si>
    <t>08:00</t>
  </si>
  <si>
    <t>15:00</t>
  </si>
  <si>
    <t>13:00</t>
  </si>
  <si>
    <t>17:00</t>
  </si>
  <si>
    <t>Ajuste de Turnos</t>
  </si>
  <si>
    <t>LUN</t>
  </si>
  <si>
    <t xml:space="preserve">MAR </t>
  </si>
  <si>
    <t>MIE</t>
  </si>
  <si>
    <t>JUE</t>
  </si>
  <si>
    <t>VIE</t>
  </si>
  <si>
    <t>SAB</t>
  </si>
  <si>
    <t xml:space="preserve">DOM </t>
  </si>
  <si>
    <t>Turnos Especiales:25-Permiso, 26-Salida, Nulo-Vacaciones</t>
  </si>
  <si>
    <t>Fecha</t>
  </si>
  <si>
    <t>2013-1-1</t>
  </si>
  <si>
    <t>ID</t>
  </si>
  <si>
    <t xml:space="preserve">Nombre </t>
  </si>
  <si>
    <t>Departamento</t>
  </si>
  <si>
    <t>Tarjeta</t>
  </si>
  <si>
    <t>1</t>
  </si>
  <si>
    <t>Admin</t>
  </si>
  <si>
    <t>2422</t>
  </si>
  <si>
    <t>Moises Duarte</t>
  </si>
  <si>
    <t>2423</t>
  </si>
  <si>
    <t>Arturo Venegas</t>
  </si>
  <si>
    <t>UdA</t>
  </si>
  <si>
    <t>Bertha Sainz</t>
  </si>
  <si>
    <t>Luz Villavicencio</t>
  </si>
  <si>
    <t>Silvia Carrillo</t>
  </si>
  <si>
    <t>Alejandra Vizcarra</t>
  </si>
  <si>
    <t>Jesus Sanchez</t>
  </si>
  <si>
    <t>Miguel Hernandez</t>
  </si>
  <si>
    <t>Karla Laguna</t>
  </si>
  <si>
    <t>Cons Martinez</t>
  </si>
  <si>
    <t>Jose Juarez</t>
  </si>
  <si>
    <t>Daniel Sotomayor</t>
  </si>
  <si>
    <t>1833</t>
  </si>
  <si>
    <t>2784</t>
  </si>
  <si>
    <t>31097</t>
  </si>
  <si>
    <t>32329</t>
  </si>
  <si>
    <t>32566</t>
  </si>
  <si>
    <t>30743</t>
  </si>
  <si>
    <t>32511</t>
  </si>
  <si>
    <t>30036</t>
  </si>
  <si>
    <t>30989</t>
  </si>
  <si>
    <t>3304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</si>
</sst>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b/>
      <sz val="11"/>
      <color indexed="63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20"/>
      <name val="宋体"/>
      <charset val="134"/>
    </font>
    <font>
      <sz val="11"/>
      <color indexed="8"/>
      <name val="맑은 고딕"/>
      <family val="2"/>
    </font>
    <font>
      <i/>
      <sz val="11"/>
      <color indexed="23"/>
      <name val="宋体"/>
      <charset val="134"/>
    </font>
    <font>
      <sz val="11"/>
      <color indexed="60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17"/>
      <name val="宋体"/>
      <charset val="134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11"/>
      <color indexed="9"/>
      <name val="Arial"/>
      <family val="2"/>
    </font>
    <font>
      <b/>
      <sz val="22"/>
      <color indexed="8"/>
      <name val="Arial"/>
      <family val="2"/>
    </font>
    <font>
      <b/>
      <sz val="24"/>
      <color indexed="8"/>
      <name val="Arial"/>
      <family val="2"/>
    </font>
    <font>
      <sz val="16"/>
      <color indexed="8"/>
      <name val="Arial"/>
      <family val="2"/>
    </font>
    <font>
      <sz val="11"/>
      <color indexed="8"/>
      <name val="宋体"/>
      <charset val="134"/>
    </font>
    <font>
      <sz val="18"/>
      <color indexed="56"/>
      <name val="Aptos Display"/>
      <family val="2"/>
    </font>
    <font>
      <b/>
      <sz val="15"/>
      <color indexed="56"/>
      <name val="Aptos Narrow"/>
      <family val="2"/>
    </font>
    <font>
      <b/>
      <sz val="13"/>
      <color indexed="56"/>
      <name val="Aptos Narrow"/>
      <family val="2"/>
    </font>
    <font>
      <b/>
      <sz val="11"/>
      <color indexed="56"/>
      <name val="Aptos Narrow"/>
      <family val="2"/>
    </font>
    <font>
      <sz val="11"/>
      <color indexed="17"/>
      <name val="Aptos Narrow"/>
      <family val="2"/>
    </font>
    <font>
      <sz val="11"/>
      <color indexed="20"/>
      <name val="Aptos Narrow"/>
      <family val="2"/>
    </font>
    <font>
      <sz val="11"/>
      <color indexed="60"/>
      <name val="Aptos Narrow"/>
      <family val="2"/>
    </font>
    <font>
      <sz val="11"/>
      <color indexed="62"/>
      <name val="Aptos Narrow"/>
      <family val="2"/>
    </font>
    <font>
      <b/>
      <sz val="11"/>
      <color indexed="63"/>
      <name val="Aptos Narrow"/>
      <family val="2"/>
    </font>
    <font>
      <b/>
      <sz val="11"/>
      <color indexed="52"/>
      <name val="Aptos Narrow"/>
      <family val="2"/>
    </font>
    <font>
      <sz val="11"/>
      <color indexed="52"/>
      <name val="Aptos Narrow"/>
      <family val="2"/>
    </font>
    <font>
      <b/>
      <sz val="11"/>
      <color indexed="9"/>
      <name val="Aptos Narrow"/>
      <family val="2"/>
    </font>
    <font>
      <sz val="11"/>
      <color indexed="10"/>
      <name val="Aptos Narrow"/>
      <family val="2"/>
    </font>
    <font>
      <i/>
      <sz val="11"/>
      <color indexed="23"/>
      <name val="Aptos Narrow"/>
      <family val="2"/>
    </font>
    <font>
      <b/>
      <sz val="11"/>
      <color indexed="8"/>
      <name val="Aptos Narrow"/>
      <family val="2"/>
    </font>
    <font>
      <sz val="11"/>
      <color indexed="9"/>
      <name val="Aptos Narrow"/>
      <family val="2"/>
    </font>
    <font>
      <sz val="11"/>
      <color indexed="8"/>
      <name val="Aptos Narrow"/>
      <family val="2"/>
    </font>
    <font>
      <sz val="10"/>
      <name val="Arial"/>
      <family val="2"/>
    </font>
    <font>
      <sz val="6"/>
      <color indexed="8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4">
    <xf numFmtId="0" fontId="0" fillId="0" borderId="0">
      <alignment vertical="center"/>
    </xf>
    <xf numFmtId="0" fontId="42" fillId="2" borderId="0" applyNumberFormat="0" applyBorder="0" applyAlignment="0" applyProtection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2" borderId="0" applyNumberFormat="0" applyBorder="0" applyAlignment="0" applyProtection="0"/>
    <xf numFmtId="0" fontId="42" fillId="5" borderId="0" applyNumberFormat="0" applyBorder="0" applyAlignment="0" applyProtection="0"/>
    <xf numFmtId="0" fontId="42" fillId="4" borderId="0" applyNumberFormat="0" applyBorder="0" applyAlignment="0" applyProtection="0"/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/>
    <xf numFmtId="0" fontId="42" fillId="3" borderId="0" applyNumberFormat="0" applyBorder="0" applyAlignment="0" applyProtection="0"/>
    <xf numFmtId="0" fontId="42" fillId="13" borderId="0" applyNumberFormat="0" applyBorder="0" applyAlignment="0" applyProtection="0"/>
    <xf numFmtId="0" fontId="42" fillId="12" borderId="0" applyNumberFormat="0" applyBorder="0" applyAlignment="0" applyProtection="0"/>
    <xf numFmtId="0" fontId="42" fillId="5" borderId="0" applyNumberFormat="0" applyBorder="0" applyAlignment="0" applyProtection="0"/>
    <xf numFmtId="0" fontId="42" fillId="4" borderId="0" applyNumberFormat="0" applyBorder="0" applyAlignment="0" applyProtection="0"/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2" fillId="3" borderId="0" applyNumberFormat="0" applyBorder="0" applyAlignment="0" applyProtection="0"/>
    <xf numFmtId="0" fontId="42" fillId="18" borderId="0" applyNumberFormat="0" applyBorder="0" applyAlignment="0" applyProtection="0"/>
    <xf numFmtId="0" fontId="42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2" fillId="2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0" fillId="4" borderId="0" applyNumberFormat="0" applyBorder="0" applyAlignment="0" applyProtection="0"/>
    <xf numFmtId="0" fontId="35" fillId="26" borderId="1" applyNumberFormat="0" applyAlignment="0" applyProtection="0"/>
    <xf numFmtId="0" fontId="37" fillId="27" borderId="2" applyNumberFormat="0" applyAlignment="0" applyProtection="0"/>
    <xf numFmtId="0" fontId="36" fillId="0" borderId="3" applyNumberFormat="0" applyFill="0" applyAlignment="0" applyProtection="0"/>
    <xf numFmtId="0" fontId="27" fillId="0" borderId="4" applyNumberFormat="0" applyFill="0" applyAlignment="0" applyProtection="0"/>
    <xf numFmtId="0" fontId="29" fillId="0" borderId="0" applyNumberFormat="0" applyFill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18" borderId="0" applyNumberFormat="0" applyBorder="0" applyAlignment="0" applyProtection="0"/>
    <xf numFmtId="0" fontId="41" fillId="30" borderId="0" applyNumberFormat="0" applyBorder="0" applyAlignment="0" applyProtection="0"/>
    <xf numFmtId="0" fontId="41" fillId="20" borderId="0" applyNumberFormat="0" applyBorder="0" applyAlignment="0" applyProtection="0"/>
    <xf numFmtId="0" fontId="41" fillId="18" borderId="0" applyNumberFormat="0" applyBorder="0" applyAlignment="0" applyProtection="0"/>
    <xf numFmtId="0" fontId="33" fillId="3" borderId="1" applyNumberFormat="0" applyAlignment="0" applyProtection="0"/>
    <xf numFmtId="0" fontId="31" fillId="5" borderId="0" applyNumberFormat="0" applyBorder="0" applyAlignment="0" applyProtection="0"/>
    <xf numFmtId="0" fontId="32" fillId="31" borderId="0" applyNumberFormat="0" applyBorder="0" applyAlignment="0" applyProtection="0"/>
    <xf numFmtId="0" fontId="12" fillId="0" borderId="0">
      <alignment vertical="center"/>
    </xf>
    <xf numFmtId="0" fontId="25" fillId="32" borderId="5" applyNumberFormat="0" applyFont="0" applyAlignment="0" applyProtection="0"/>
    <xf numFmtId="0" fontId="34" fillId="26" borderId="6" applyNumberFormat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0" borderId="7" applyNumberFormat="0" applyFill="0" applyAlignment="0" applyProtection="0"/>
    <xf numFmtId="0" fontId="29" fillId="0" borderId="8" applyNumberFormat="0" applyFill="0" applyAlignment="0" applyProtection="0"/>
    <xf numFmtId="0" fontId="40" fillId="0" borderId="9" applyNumberFormat="0" applyFill="0" applyAlignment="0" applyProtection="0"/>
    <xf numFmtId="0" fontId="17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37" borderId="2" applyNumberFormat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25" fillId="38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39" borderId="1" applyNumberFormat="0" applyAlignment="0" applyProtection="0">
      <alignment vertical="center"/>
    </xf>
    <xf numFmtId="0" fontId="1" fillId="11" borderId="1" applyNumberFormat="0" applyAlignment="0" applyProtection="0">
      <alignment vertical="center"/>
    </xf>
    <xf numFmtId="0" fontId="8" fillId="39" borderId="6" applyNumberFormat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 applyProtection="1">
      <alignment horizontal="center" vertical="center" wrapText="1"/>
      <protection hidden="1"/>
    </xf>
    <xf numFmtId="0" fontId="18" fillId="0" borderId="14" xfId="0" applyFont="1" applyBorder="1" applyAlignment="1" applyProtection="1">
      <alignment horizontal="center" vertical="center" wrapText="1"/>
      <protection locked="0"/>
    </xf>
    <xf numFmtId="49" fontId="18" fillId="0" borderId="14" xfId="0" applyNumberFormat="1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hidden="1"/>
    </xf>
    <xf numFmtId="0" fontId="20" fillId="41" borderId="14" xfId="0" applyFont="1" applyFill="1" applyBorder="1" applyAlignment="1" applyProtection="1">
      <alignment horizontal="center" vertical="center" wrapText="1"/>
      <protection hidden="1"/>
    </xf>
    <xf numFmtId="49" fontId="19" fillId="0" borderId="14" xfId="0" applyNumberFormat="1" applyFont="1" applyBorder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vertical="center" wrapText="1"/>
      <protection hidden="1"/>
    </xf>
    <xf numFmtId="0" fontId="19" fillId="0" borderId="14" xfId="0" applyFont="1" applyBorder="1" applyAlignment="1" applyProtection="1">
      <alignment horizontal="center" vertical="center" wrapText="1"/>
      <protection locked="0"/>
    </xf>
    <xf numFmtId="0" fontId="43" fillId="0" borderId="14" xfId="0" applyFont="1" applyBorder="1" applyAlignment="1" applyProtection="1">
      <alignment horizontal="center" vertical="center"/>
      <protection hidden="1"/>
    </xf>
    <xf numFmtId="0" fontId="44" fillId="0" borderId="14" xfId="0" applyFont="1" applyFill="1" applyBorder="1" applyAlignment="1" applyProtection="1">
      <alignment horizontal="center" vertical="center" wrapText="1"/>
      <protection hidden="1"/>
    </xf>
    <xf numFmtId="0" fontId="20" fillId="0" borderId="14" xfId="0" applyFont="1" applyBorder="1" applyAlignment="1" applyProtection="1">
      <alignment horizontal="center" vertical="center" wrapText="1"/>
      <protection hidden="1"/>
    </xf>
    <xf numFmtId="0" fontId="20" fillId="0" borderId="15" xfId="0" applyFont="1" applyBorder="1" applyAlignment="1" applyProtection="1">
      <alignment horizontal="center" vertical="center" wrapText="1"/>
      <protection hidden="1"/>
    </xf>
    <xf numFmtId="0" fontId="20" fillId="0" borderId="16" xfId="0" applyFont="1" applyBorder="1" applyAlignment="1" applyProtection="1">
      <alignment horizontal="center" vertical="center" wrapText="1"/>
      <protection hidden="1"/>
    </xf>
    <xf numFmtId="0" fontId="22" fillId="0" borderId="17" xfId="0" applyFont="1" applyBorder="1" applyAlignment="1" applyProtection="1">
      <alignment horizontal="center" vertical="center" wrapText="1"/>
      <protection hidden="1"/>
    </xf>
    <xf numFmtId="0" fontId="22" fillId="0" borderId="18" xfId="0" applyFont="1" applyBorder="1" applyAlignment="1" applyProtection="1">
      <alignment horizontal="center" vertical="center" wrapText="1"/>
      <protection hidden="1"/>
    </xf>
    <xf numFmtId="0" fontId="22" fillId="0" borderId="19" xfId="0" applyFont="1" applyBorder="1" applyAlignment="1" applyProtection="1">
      <alignment horizontal="center" vertical="center" wrapText="1"/>
      <protection hidden="1"/>
    </xf>
    <xf numFmtId="0" fontId="22" fillId="0" borderId="20" xfId="0" applyFont="1" applyBorder="1" applyAlignment="1" applyProtection="1">
      <alignment horizontal="center" vertical="center" wrapText="1"/>
      <protection hidden="1"/>
    </xf>
    <xf numFmtId="0" fontId="22" fillId="0" borderId="21" xfId="0" applyFont="1" applyBorder="1" applyAlignment="1" applyProtection="1">
      <alignment horizontal="center" vertical="center" wrapText="1"/>
      <protection hidden="1"/>
    </xf>
    <xf numFmtId="0" fontId="22" fillId="0" borderId="22" xfId="0" applyFont="1" applyBorder="1" applyAlignment="1" applyProtection="1">
      <alignment horizontal="center" vertical="center" wrapText="1"/>
      <protection hidden="1"/>
    </xf>
    <xf numFmtId="0" fontId="23" fillId="0" borderId="17" xfId="52" applyFont="1" applyFill="1" applyBorder="1" applyAlignment="1" applyProtection="1">
      <alignment horizontal="center" vertical="center"/>
      <protection hidden="1"/>
    </xf>
    <xf numFmtId="0" fontId="23" fillId="0" borderId="18" xfId="52" applyFont="1" applyFill="1" applyBorder="1" applyAlignment="1" applyProtection="1">
      <alignment horizontal="center" vertical="center"/>
      <protection hidden="1"/>
    </xf>
    <xf numFmtId="0" fontId="23" fillId="0" borderId="19" xfId="52" applyFont="1" applyFill="1" applyBorder="1" applyAlignment="1" applyProtection="1">
      <alignment horizontal="center" vertical="center"/>
      <protection hidden="1"/>
    </xf>
    <xf numFmtId="0" fontId="18" fillId="0" borderId="20" xfId="52" applyFont="1" applyFill="1" applyBorder="1" applyAlignment="1" applyProtection="1">
      <alignment horizontal="center" vertical="center"/>
      <protection hidden="1"/>
    </xf>
    <xf numFmtId="0" fontId="18" fillId="0" borderId="21" xfId="52" applyFont="1" applyFill="1" applyBorder="1" applyAlignment="1" applyProtection="1">
      <alignment horizontal="center" vertical="center"/>
      <protection hidden="1"/>
    </xf>
    <xf numFmtId="0" fontId="18" fillId="0" borderId="21" xfId="52" applyFont="1" applyFill="1" applyBorder="1" applyAlignment="1" applyProtection="1">
      <alignment horizontal="right" vertical="center"/>
      <protection hidden="1"/>
    </xf>
    <xf numFmtId="0" fontId="18" fillId="0" borderId="22" xfId="52" applyFont="1" applyFill="1" applyBorder="1" applyAlignment="1" applyProtection="1">
      <alignment horizontal="right" vertical="center"/>
      <protection hidden="1"/>
    </xf>
    <xf numFmtId="0" fontId="24" fillId="0" borderId="15" xfId="52" applyFont="1" applyFill="1" applyBorder="1" applyAlignment="1" applyProtection="1">
      <alignment horizontal="center" vertical="center"/>
      <protection hidden="1"/>
    </xf>
    <xf numFmtId="0" fontId="24" fillId="0" borderId="23" xfId="52" applyFont="1" applyFill="1" applyBorder="1" applyAlignment="1" applyProtection="1">
      <alignment horizontal="center" vertical="center"/>
      <protection hidden="1"/>
    </xf>
    <xf numFmtId="0" fontId="24" fillId="0" borderId="16" xfId="52" applyFont="1" applyFill="1" applyBorder="1" applyAlignment="1" applyProtection="1">
      <alignment horizontal="center" vertical="center"/>
      <protection hidden="1"/>
    </xf>
    <xf numFmtId="49" fontId="18" fillId="0" borderId="15" xfId="52" applyNumberFormat="1" applyFont="1" applyFill="1" applyBorder="1" applyAlignment="1" applyProtection="1">
      <alignment horizontal="left" vertical="center"/>
      <protection locked="0"/>
    </xf>
    <xf numFmtId="49" fontId="18" fillId="0" borderId="23" xfId="52" applyNumberFormat="1" applyFont="1" applyFill="1" applyBorder="1" applyAlignment="1" applyProtection="1">
      <alignment horizontal="left" vertical="center"/>
      <protection locked="0"/>
    </xf>
    <xf numFmtId="49" fontId="18" fillId="0" borderId="16" xfId="52" applyNumberFormat="1" applyFont="1" applyFill="1" applyBorder="1" applyAlignment="1" applyProtection="1">
      <alignment horizontal="left" vertical="center"/>
      <protection locked="0"/>
    </xf>
    <xf numFmtId="0" fontId="18" fillId="0" borderId="24" xfId="0" applyFont="1" applyFill="1" applyBorder="1" applyAlignment="1" applyProtection="1">
      <alignment horizontal="center" vertical="center" wrapText="1"/>
      <protection hidden="1"/>
    </xf>
    <xf numFmtId="0" fontId="18" fillId="0" borderId="25" xfId="0" applyFont="1" applyFill="1" applyBorder="1" applyAlignment="1" applyProtection="1">
      <alignment horizontal="center" vertical="center" wrapText="1"/>
      <protection hidden="1"/>
    </xf>
  </cellXfs>
  <cellStyles count="8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20% - 强调文字颜色 1" xfId="7" xr:uid="{B0EC2656-7F47-4C4B-8CDF-3DD021639231}"/>
    <cellStyle name="20% - 强调文字颜色 2" xfId="8" xr:uid="{4C835E28-03DC-4EA8-B7A5-D99808434875}"/>
    <cellStyle name="20% - 强调文字颜色 3" xfId="9" xr:uid="{51DF9A17-3955-4927-8605-1B5E5CC2685B}"/>
    <cellStyle name="20% - 强调文字颜色 4" xfId="10" xr:uid="{6F5398A5-15CA-48EA-86ED-B43D963B98DE}"/>
    <cellStyle name="20% - 强调文字颜色 5" xfId="11" xr:uid="{3B9854AF-474F-4FB8-807A-5B1BCA4DD866}"/>
    <cellStyle name="20% - 强调文字颜色 6" xfId="12" xr:uid="{795B0AFF-5366-4A0B-900C-ABA3B2D98F5E}"/>
    <cellStyle name="40% - Énfasis1" xfId="13" builtinId="31" customBuiltin="1"/>
    <cellStyle name="40% - Énfasis2" xfId="14" builtinId="35" customBuiltin="1"/>
    <cellStyle name="40% - Énfasis3" xfId="15" builtinId="39" customBuiltin="1"/>
    <cellStyle name="40% - Énfasis4" xfId="16" builtinId="43" customBuiltin="1"/>
    <cellStyle name="40% - Énfasis5" xfId="17" builtinId="47" customBuiltin="1"/>
    <cellStyle name="40% - Énfasis6" xfId="18" builtinId="51" customBuiltin="1"/>
    <cellStyle name="40% - 强调文字颜色 1" xfId="19" xr:uid="{362E950B-047C-48B1-9870-ABDC1B351E28}"/>
    <cellStyle name="40% - 强调文字颜色 2" xfId="20" xr:uid="{A0C96523-D6DC-4BDD-BA32-6A303C21ECD2}"/>
    <cellStyle name="40% - 强调文字颜色 3" xfId="21" xr:uid="{BF83D3C3-59EC-497C-9E4C-33F1C6AC7375}"/>
    <cellStyle name="40% - 强调文字颜色 4" xfId="22" xr:uid="{2E5FB2FC-CFF8-48DB-9CDD-697D705AA143}"/>
    <cellStyle name="40% - 强调文字颜色 5" xfId="23" xr:uid="{273C051B-627B-4FED-9FB2-E5D5B811B8A2}"/>
    <cellStyle name="40% - 强调文字颜色 6" xfId="24" xr:uid="{8A96E830-9409-4867-84B8-F9A2B3858FA7}"/>
    <cellStyle name="60% - Énfasis1" xfId="25" builtinId="32" customBuiltin="1"/>
    <cellStyle name="60% - Énfasis2" xfId="26" builtinId="36" customBuiltin="1"/>
    <cellStyle name="60% - Énfasis3" xfId="27" builtinId="40" customBuiltin="1"/>
    <cellStyle name="60% - Énfasis4" xfId="28" builtinId="44" customBuiltin="1"/>
    <cellStyle name="60% - Énfasis5" xfId="29" builtinId="48" customBuiltin="1"/>
    <cellStyle name="60% - Énfasis6" xfId="30" builtinId="52" customBuiltin="1"/>
    <cellStyle name="60% - 强调文字颜色 1" xfId="31" xr:uid="{AA4D87E2-9148-494C-8C9D-6F90E37BD57C}"/>
    <cellStyle name="60% - 强调文字颜色 2" xfId="32" xr:uid="{A91F0332-A006-4546-AB97-C64B53EAAC58}"/>
    <cellStyle name="60% - 强调文字颜色 3" xfId="33" xr:uid="{A5783F39-B9B0-4926-A3EA-1607B61A748C}"/>
    <cellStyle name="60% - 强调文字颜色 4" xfId="34" xr:uid="{895B66FC-1BA4-4577-9613-E65F0DD62FE7}"/>
    <cellStyle name="60% - 强调文字颜色 5" xfId="35" xr:uid="{D3D305FD-0CDE-498F-BDE8-E4EB64AF872C}"/>
    <cellStyle name="60% - 强调文字颜色 6" xfId="36" xr:uid="{A3560661-8FC9-465B-B8AD-F0E85488FA41}"/>
    <cellStyle name="Bueno" xfId="37" builtinId="26" customBuiltin="1"/>
    <cellStyle name="Cálculo" xfId="38" builtinId="22" customBuiltin="1"/>
    <cellStyle name="Celda de comprobación" xfId="39" builtinId="23" customBuiltin="1"/>
    <cellStyle name="Celda vinculada" xfId="40" builtinId="24" customBuiltin="1"/>
    <cellStyle name="Encabezado 1" xfId="41" builtinId="16" customBuiltin="1"/>
    <cellStyle name="Encabezado 4" xfId="42" builtinId="19" customBuiltin="1"/>
    <cellStyle name="Énfasis1" xfId="43" builtinId="29" customBuiltin="1"/>
    <cellStyle name="Énfasis2" xfId="44" builtinId="33" customBuiltin="1"/>
    <cellStyle name="Énfasis3" xfId="45" builtinId="37" customBuiltin="1"/>
    <cellStyle name="Énfasis4" xfId="46" builtinId="41" customBuiltin="1"/>
    <cellStyle name="Énfasis5" xfId="47" builtinId="45" customBuiltin="1"/>
    <cellStyle name="Énfasis6" xfId="48" builtinId="49" customBuiltin="1"/>
    <cellStyle name="Entrada" xfId="49" builtinId="20" customBuiltin="1"/>
    <cellStyle name="Incorrecto" xfId="50" builtinId="27" customBuiltin="1"/>
    <cellStyle name="Neutral" xfId="51" builtinId="28" customBuiltin="1"/>
    <cellStyle name="Normal" xfId="0" builtinId="0"/>
    <cellStyle name="Normal_Sheet1" xfId="52" xr:uid="{4D9226A8-BDB6-4CFC-8FE9-681E428CD477}"/>
    <cellStyle name="Notas" xfId="53" builtinId="10" customBuiltin="1"/>
    <cellStyle name="Salida" xfId="54" builtinId="21" customBuiltin="1"/>
    <cellStyle name="Texto de advertencia" xfId="55" builtinId="11" customBuiltin="1"/>
    <cellStyle name="Texto explicativo" xfId="56" builtinId="53" customBuiltin="1"/>
    <cellStyle name="Título" xfId="57" builtinId="15" customBuiltin="1"/>
    <cellStyle name="Título 2" xfId="58" builtinId="17" customBuiltin="1"/>
    <cellStyle name="Título 3" xfId="59" builtinId="18" customBuiltin="1"/>
    <cellStyle name="Total" xfId="60" builtinId="25" customBuiltin="1"/>
    <cellStyle name="好" xfId="61" xr:uid="{0C19FF11-E6AB-4A08-8EA9-8473BA8440F7}"/>
    <cellStyle name="差" xfId="62" xr:uid="{9963AD29-D4FD-4CCA-B592-8FB336B79037}"/>
    <cellStyle name="强调文字颜色 1" xfId="63" xr:uid="{1F0F9A87-3504-4CE8-8EDF-D794ECE14271}"/>
    <cellStyle name="强调文字颜色 2" xfId="64" xr:uid="{3FF21BE2-FBFD-4012-8181-498D33BFF9EF}"/>
    <cellStyle name="强调文字颜色 3" xfId="65" xr:uid="{A436C9CC-0E91-451A-86E9-7C5E6D7935E5}"/>
    <cellStyle name="强调文字颜色 4" xfId="66" xr:uid="{A61B650D-8A96-458D-97B5-9607F0D8D775}"/>
    <cellStyle name="强调文字颜色 5" xfId="67" xr:uid="{AE29DE3E-E83F-4486-B8EC-A004C805A044}"/>
    <cellStyle name="强调文字颜色 6" xfId="68" xr:uid="{D70DFB55-59F1-4034-B6BB-21525692EB8F}"/>
    <cellStyle name="标题" xfId="69" xr:uid="{0501D7C0-F124-415C-8C3F-6DDBE0B56839}"/>
    <cellStyle name="标题 1" xfId="70" xr:uid="{309D0613-26E0-492B-9369-9D769A5DD80B}"/>
    <cellStyle name="标题 2" xfId="71" xr:uid="{4320A6DD-E324-4ECC-8E41-880FC0428EA6}"/>
    <cellStyle name="标题 3" xfId="72" xr:uid="{8BAEC89B-0255-4719-A58B-4B9286B6A345}"/>
    <cellStyle name="标题 4" xfId="73" xr:uid="{225A4932-B21B-4A68-91DC-B5683F74272A}"/>
    <cellStyle name="检查单元格" xfId="74" xr:uid="{A390CEEB-0E73-4CC1-8EBA-166D7C361857}"/>
    <cellStyle name="汇总" xfId="75" xr:uid="{F08A373E-242A-4F4D-8692-2E676E9288DC}"/>
    <cellStyle name="注释" xfId="76" xr:uid="{A9093F65-CF6B-472D-B9FB-32039591A6E2}"/>
    <cellStyle name="解释性文本" xfId="77" xr:uid="{3039BD30-5687-4C0C-B247-85E5498DDF22}"/>
    <cellStyle name="警告文本" xfId="78" xr:uid="{E5EDA9B0-B7F0-4116-8C48-43B8CC3DCA93}"/>
    <cellStyle name="计算" xfId="79" xr:uid="{18031888-3B5D-4495-907F-EE84318F01BB}"/>
    <cellStyle name="输入" xfId="80" xr:uid="{E4F35FF3-1041-4678-B16C-126D2921CE42}"/>
    <cellStyle name="输出" xfId="81" xr:uid="{AE49C5CB-0706-4AB6-A94C-E5E54F90F895}"/>
    <cellStyle name="适中" xfId="82" xr:uid="{71CAF966-96CD-418B-93D3-3585AC2CA437}"/>
    <cellStyle name="链接单元格" xfId="83" xr:uid="{F523C553-DC40-477E-9981-51CAC8FC5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7915B-1714-457C-9357-6744D531F9CD}">
  <dimension ref="A1:G29"/>
  <sheetViews>
    <sheetView workbookViewId="0">
      <selection activeCell="I26" sqref="I26"/>
    </sheetView>
  </sheetViews>
  <sheetFormatPr baseColWidth="10" defaultColWidth="9" defaultRowHeight="12.9"/>
  <cols>
    <col min="1" max="1" width="8.5" style="1" customWidth="1"/>
    <col min="2" max="2" width="8.75" style="1" customWidth="1"/>
    <col min="3" max="3" width="7.5" style="1" customWidth="1"/>
    <col min="4" max="4" width="7.625" style="1" customWidth="1"/>
    <col min="5" max="5" width="7.125" style="1" customWidth="1"/>
    <col min="6" max="6" width="6.5" style="1" customWidth="1"/>
    <col min="7" max="7" width="7.875" style="1" customWidth="1"/>
    <col min="8" max="8" width="9" style="1" bestFit="1"/>
    <col min="9" max="16384" width="9" style="1"/>
  </cols>
  <sheetData>
    <row r="1" spans="1:7">
      <c r="A1" s="14" t="s">
        <v>0</v>
      </c>
      <c r="B1" s="15"/>
      <c r="C1" s="15"/>
      <c r="D1" s="15"/>
      <c r="E1" s="15"/>
      <c r="F1" s="15"/>
      <c r="G1" s="16"/>
    </row>
    <row r="2" spans="1:7">
      <c r="A2" s="17"/>
      <c r="B2" s="18"/>
      <c r="C2" s="18"/>
      <c r="D2" s="18"/>
      <c r="E2" s="18"/>
      <c r="F2" s="18"/>
      <c r="G2" s="19"/>
    </row>
    <row r="3" spans="1:7">
      <c r="A3" s="11" t="s">
        <v>1</v>
      </c>
      <c r="B3" s="11"/>
      <c r="C3" s="11"/>
      <c r="D3" s="11"/>
      <c r="E3" s="11"/>
      <c r="F3" s="11"/>
      <c r="G3" s="11"/>
    </row>
    <row r="4" spans="1:7">
      <c r="A4" s="11" t="s">
        <v>2</v>
      </c>
      <c r="B4" s="12" t="s">
        <v>3</v>
      </c>
      <c r="C4" s="13"/>
      <c r="D4" s="12" t="s">
        <v>4</v>
      </c>
      <c r="E4" s="13"/>
      <c r="F4" s="12" t="s">
        <v>5</v>
      </c>
      <c r="G4" s="13"/>
    </row>
    <row r="5" spans="1:7">
      <c r="A5" s="11"/>
      <c r="B5" s="5" t="s">
        <v>6</v>
      </c>
      <c r="C5" s="5" t="s">
        <v>7</v>
      </c>
      <c r="D5" s="5" t="s">
        <v>6</v>
      </c>
      <c r="E5" s="5" t="s">
        <v>7</v>
      </c>
      <c r="F5" s="5" t="s">
        <v>6</v>
      </c>
      <c r="G5" s="5" t="s">
        <v>7</v>
      </c>
    </row>
    <row r="6" spans="1:7">
      <c r="A6" s="8">
        <v>1</v>
      </c>
      <c r="B6" s="3" t="s">
        <v>8</v>
      </c>
      <c r="C6" s="3" t="s">
        <v>9</v>
      </c>
      <c r="D6" s="3"/>
      <c r="E6" s="3"/>
      <c r="F6" s="6"/>
      <c r="G6" s="6"/>
    </row>
    <row r="7" spans="1:7">
      <c r="A7" s="8">
        <v>2</v>
      </c>
      <c r="B7" s="3" t="s">
        <v>8</v>
      </c>
      <c r="C7" s="3" t="s">
        <v>10</v>
      </c>
      <c r="D7" s="3" t="s">
        <v>9</v>
      </c>
      <c r="E7" s="3" t="s">
        <v>11</v>
      </c>
      <c r="F7" s="6"/>
      <c r="G7" s="6"/>
    </row>
    <row r="8" spans="1:7">
      <c r="A8" s="8">
        <v>3</v>
      </c>
      <c r="B8" s="3" t="s">
        <v>9</v>
      </c>
      <c r="C8" s="3" t="s">
        <v>11</v>
      </c>
      <c r="D8" s="3"/>
      <c r="E8" s="3"/>
      <c r="F8" s="6"/>
      <c r="G8" s="6"/>
    </row>
    <row r="9" spans="1:7">
      <c r="A9" s="8">
        <v>4</v>
      </c>
      <c r="B9" s="3"/>
      <c r="C9" s="3"/>
      <c r="D9" s="3"/>
      <c r="E9" s="3"/>
      <c r="F9" s="6"/>
      <c r="G9" s="6"/>
    </row>
    <row r="10" spans="1:7">
      <c r="A10" s="8">
        <v>5</v>
      </c>
      <c r="B10" s="3"/>
      <c r="C10" s="3"/>
      <c r="D10" s="3"/>
      <c r="E10" s="3"/>
      <c r="F10" s="6"/>
      <c r="G10" s="6"/>
    </row>
    <row r="11" spans="1:7">
      <c r="A11" s="8">
        <v>6</v>
      </c>
      <c r="B11" s="3"/>
      <c r="C11" s="3"/>
      <c r="D11" s="3"/>
      <c r="E11" s="3"/>
      <c r="F11" s="6"/>
      <c r="G11" s="6"/>
    </row>
    <row r="12" spans="1:7">
      <c r="A12" s="8">
        <v>7</v>
      </c>
      <c r="B12" s="3"/>
      <c r="C12" s="3"/>
      <c r="D12" s="3"/>
      <c r="E12" s="3"/>
      <c r="F12" s="6"/>
      <c r="G12" s="6"/>
    </row>
    <row r="13" spans="1:7">
      <c r="A13" s="8">
        <v>8</v>
      </c>
      <c r="B13" s="3"/>
      <c r="C13" s="3"/>
      <c r="D13" s="3"/>
      <c r="E13" s="3"/>
      <c r="F13" s="6"/>
      <c r="G13" s="6"/>
    </row>
    <row r="14" spans="1:7">
      <c r="A14" s="8">
        <v>9</v>
      </c>
      <c r="B14" s="3"/>
      <c r="C14" s="3"/>
      <c r="D14" s="3"/>
      <c r="E14" s="3"/>
      <c r="F14" s="6"/>
      <c r="G14" s="6"/>
    </row>
    <row r="15" spans="1:7">
      <c r="A15" s="8">
        <v>10</v>
      </c>
      <c r="B15" s="3"/>
      <c r="C15" s="3"/>
      <c r="D15" s="3"/>
      <c r="E15" s="3"/>
      <c r="F15" s="6"/>
      <c r="G15" s="6"/>
    </row>
    <row r="16" spans="1:7">
      <c r="A16" s="8">
        <v>11</v>
      </c>
      <c r="B16" s="3"/>
      <c r="C16" s="3"/>
      <c r="D16" s="3"/>
      <c r="E16" s="3"/>
      <c r="F16" s="6"/>
      <c r="G16" s="6"/>
    </row>
    <row r="17" spans="1:7">
      <c r="A17" s="8">
        <v>12</v>
      </c>
      <c r="B17" s="3"/>
      <c r="C17" s="3"/>
      <c r="D17" s="3"/>
      <c r="E17" s="3"/>
      <c r="F17" s="6"/>
      <c r="G17" s="6"/>
    </row>
    <row r="18" spans="1:7">
      <c r="A18" s="8">
        <v>13</v>
      </c>
      <c r="B18" s="3"/>
      <c r="C18" s="3"/>
      <c r="D18" s="3"/>
      <c r="E18" s="3"/>
      <c r="F18" s="6"/>
      <c r="G18" s="6"/>
    </row>
    <row r="19" spans="1:7">
      <c r="A19" s="8">
        <v>14</v>
      </c>
      <c r="B19" s="3"/>
      <c r="C19" s="3"/>
      <c r="D19" s="3"/>
      <c r="E19" s="3"/>
      <c r="F19" s="6"/>
      <c r="G19" s="6"/>
    </row>
    <row r="20" spans="1:7">
      <c r="A20" s="8">
        <v>15</v>
      </c>
      <c r="B20" s="3"/>
      <c r="C20" s="3"/>
      <c r="D20" s="3"/>
      <c r="E20" s="3"/>
      <c r="F20" s="6"/>
      <c r="G20" s="6"/>
    </row>
    <row r="21" spans="1:7">
      <c r="A21" s="8">
        <v>16</v>
      </c>
      <c r="B21" s="3"/>
      <c r="C21" s="3"/>
      <c r="D21" s="3"/>
      <c r="E21" s="3"/>
      <c r="F21" s="6"/>
      <c r="G21" s="6"/>
    </row>
    <row r="22" spans="1:7">
      <c r="A22" s="8">
        <v>17</v>
      </c>
      <c r="B22" s="3"/>
      <c r="C22" s="3"/>
      <c r="D22" s="3"/>
      <c r="E22" s="3"/>
      <c r="F22" s="6"/>
      <c r="G22" s="6"/>
    </row>
    <row r="23" spans="1:7">
      <c r="A23" s="8">
        <v>18</v>
      </c>
      <c r="B23" s="3"/>
      <c r="C23" s="3"/>
      <c r="D23" s="3"/>
      <c r="E23" s="3"/>
      <c r="F23" s="6"/>
      <c r="G23" s="6"/>
    </row>
    <row r="24" spans="1:7">
      <c r="A24" s="8">
        <v>19</v>
      </c>
      <c r="B24" s="3"/>
      <c r="C24" s="3"/>
      <c r="D24" s="3"/>
      <c r="E24" s="3"/>
      <c r="F24" s="6"/>
      <c r="G24" s="6"/>
    </row>
    <row r="25" spans="1:7">
      <c r="A25" s="8">
        <v>20</v>
      </c>
      <c r="B25" s="3"/>
      <c r="C25" s="3"/>
      <c r="D25" s="3"/>
      <c r="E25" s="3"/>
      <c r="F25" s="6"/>
      <c r="G25" s="6"/>
    </row>
    <row r="26" spans="1:7">
      <c r="A26" s="8">
        <v>21</v>
      </c>
      <c r="B26" s="3"/>
      <c r="C26" s="3"/>
      <c r="D26" s="3"/>
      <c r="E26" s="3"/>
      <c r="F26" s="6"/>
      <c r="G26" s="6"/>
    </row>
    <row r="27" spans="1:7">
      <c r="A27" s="8">
        <v>22</v>
      </c>
      <c r="B27" s="3"/>
      <c r="C27" s="3"/>
      <c r="D27" s="3"/>
      <c r="E27" s="3"/>
      <c r="F27" s="6"/>
      <c r="G27" s="6"/>
    </row>
    <row r="28" spans="1:7">
      <c r="A28" s="8">
        <v>23</v>
      </c>
      <c r="B28" s="3"/>
      <c r="C28" s="3"/>
      <c r="D28" s="3"/>
      <c r="E28" s="3"/>
      <c r="F28" s="6"/>
      <c r="G28" s="6"/>
    </row>
    <row r="29" spans="1:7">
      <c r="A29" s="8">
        <v>24</v>
      </c>
      <c r="B29" s="3"/>
      <c r="C29" s="3"/>
      <c r="D29" s="3"/>
      <c r="E29" s="3"/>
      <c r="F29" s="6"/>
      <c r="G29" s="6"/>
    </row>
  </sheetData>
  <mergeCells count="6">
    <mergeCell ref="A3:G3"/>
    <mergeCell ref="B4:C4"/>
    <mergeCell ref="D4:E4"/>
    <mergeCell ref="F4:G4"/>
    <mergeCell ref="A4:A5"/>
    <mergeCell ref="A1:G2"/>
  </mergeCells>
  <pageMargins left="0.70833333333333337" right="0.74791666666666667" top="0.78680555555555554" bottom="0.39305555555555555" header="0.27500000000000002" footer="0.27500000000000002"/>
  <pageSetup paperSize="9" firstPageNumber="4294963191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DA40-8852-45DF-8399-9EEBB67CA1CD}">
  <dimension ref="A1:AS1005"/>
  <sheetViews>
    <sheetView showGridLines="0" tabSelected="1" workbookViewId="0">
      <selection activeCell="D10" sqref="D10"/>
    </sheetView>
  </sheetViews>
  <sheetFormatPr baseColWidth="10" defaultColWidth="9" defaultRowHeight="12.9"/>
  <cols>
    <col min="1" max="1" width="10.375" style="1" customWidth="1"/>
    <col min="2" max="2" width="9.625" style="1" customWidth="1"/>
    <col min="3" max="3" width="11.5" style="1" customWidth="1"/>
    <col min="4" max="4" width="13.375" style="1" customWidth="1"/>
    <col min="5" max="35" width="3" style="1" customWidth="1"/>
    <col min="36" max="36" width="9" style="1" bestFit="1"/>
    <col min="37" max="45" width="9" style="1"/>
  </cols>
  <sheetData>
    <row r="1" spans="1:45" ht="30.6">
      <c r="A1" s="20" t="s">
        <v>12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2"/>
      <c r="AJ1" s="7" t="s">
        <v>13</v>
      </c>
      <c r="AK1" s="7" t="s">
        <v>14</v>
      </c>
      <c r="AL1" s="7" t="s">
        <v>15</v>
      </c>
      <c r="AM1" s="7" t="s">
        <v>16</v>
      </c>
      <c r="AN1" s="7" t="s">
        <v>17</v>
      </c>
      <c r="AO1" s="7" t="s">
        <v>18</v>
      </c>
      <c r="AP1" s="7" t="s">
        <v>19</v>
      </c>
      <c r="AQ1"/>
      <c r="AR1"/>
      <c r="AS1"/>
    </row>
    <row r="2" spans="1:45">
      <c r="A2" s="23" t="s">
        <v>20</v>
      </c>
      <c r="B2" s="24"/>
      <c r="C2" s="24"/>
      <c r="D2" s="2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6"/>
      <c r="AJ2"/>
      <c r="AK2"/>
      <c r="AL2"/>
      <c r="AM2"/>
      <c r="AN2"/>
      <c r="AO2"/>
      <c r="AP2"/>
      <c r="AQ2"/>
      <c r="AR2"/>
      <c r="AS2"/>
    </row>
    <row r="3" spans="1:45" ht="21.1">
      <c r="A3" s="27" t="s">
        <v>21</v>
      </c>
      <c r="B3" s="28"/>
      <c r="C3" s="28"/>
      <c r="D3" s="29"/>
      <c r="E3" s="30" t="s">
        <v>22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2"/>
      <c r="AJ3"/>
      <c r="AK3"/>
      <c r="AL3"/>
      <c r="AM3"/>
      <c r="AN3"/>
      <c r="AO3"/>
      <c r="AP3"/>
      <c r="AQ3"/>
      <c r="AR3"/>
      <c r="AS3"/>
    </row>
    <row r="4" spans="1:45">
      <c r="A4" s="33" t="s">
        <v>23</v>
      </c>
      <c r="B4" s="33" t="s">
        <v>24</v>
      </c>
      <c r="C4" s="33" t="s">
        <v>25</v>
      </c>
      <c r="D4" s="33" t="s">
        <v>26</v>
      </c>
      <c r="E4" s="9">
        <f>DAY(E3)</f>
        <v>1</v>
      </c>
      <c r="F4" s="9">
        <f>DAY(E3+1)</f>
        <v>2</v>
      </c>
      <c r="G4" s="9">
        <f>DAY(E3+2)</f>
        <v>3</v>
      </c>
      <c r="H4" s="9">
        <f>DAY(E3+3)</f>
        <v>4</v>
      </c>
      <c r="I4" s="9">
        <f>DAY(E3+4)</f>
        <v>5</v>
      </c>
      <c r="J4" s="9">
        <f>DAY(E3+5)</f>
        <v>6</v>
      </c>
      <c r="K4" s="9">
        <f>DAY(E3+6)</f>
        <v>7</v>
      </c>
      <c r="L4" s="9">
        <f>DAY(E3+7)</f>
        <v>8</v>
      </c>
      <c r="M4" s="9">
        <f>DAY(E3+8)</f>
        <v>9</v>
      </c>
      <c r="N4" s="9">
        <f>DAY(E3+9)</f>
        <v>10</v>
      </c>
      <c r="O4" s="9">
        <f>DAY(E3+10)</f>
        <v>11</v>
      </c>
      <c r="P4" s="9">
        <f>DAY(E3+11)</f>
        <v>12</v>
      </c>
      <c r="Q4" s="9">
        <f>DAY(E3+12)</f>
        <v>13</v>
      </c>
      <c r="R4" s="9">
        <f>DAY(E3+13)</f>
        <v>14</v>
      </c>
      <c r="S4" s="9">
        <f>DAY(E3+14)</f>
        <v>15</v>
      </c>
      <c r="T4" s="9">
        <f>DAY(E3+15)</f>
        <v>16</v>
      </c>
      <c r="U4" s="9">
        <f>DAY(E3+16)</f>
        <v>17</v>
      </c>
      <c r="V4" s="9">
        <f>DAY(E3+17)</f>
        <v>18</v>
      </c>
      <c r="W4" s="9">
        <f>DAY(E3+18)</f>
        <v>19</v>
      </c>
      <c r="X4" s="9">
        <f>DAY(E3+19)</f>
        <v>20</v>
      </c>
      <c r="Y4" s="9">
        <f>DAY(E3+20)</f>
        <v>21</v>
      </c>
      <c r="Z4" s="9">
        <f>DAY(E3+21)</f>
        <v>22</v>
      </c>
      <c r="AA4" s="9">
        <f>DAY(E3+22)</f>
        <v>23</v>
      </c>
      <c r="AB4" s="9">
        <f>DAY(E3+23)</f>
        <v>24</v>
      </c>
      <c r="AC4" s="9">
        <f>DAY(E3+24)</f>
        <v>25</v>
      </c>
      <c r="AD4" s="9">
        <f>DAY(E3+25)</f>
        <v>26</v>
      </c>
      <c r="AE4" s="9">
        <f>DAY(E3+26)</f>
        <v>27</v>
      </c>
      <c r="AF4" s="9">
        <f>DAY(E3+27)</f>
        <v>28</v>
      </c>
      <c r="AG4" s="9">
        <f>DAY(E3+28)</f>
        <v>29</v>
      </c>
      <c r="AH4" s="9">
        <f>DAY(E3+29)</f>
        <v>30</v>
      </c>
      <c r="AI4" s="9">
        <f>DAY(E3+30)</f>
        <v>31</v>
      </c>
      <c r="AJ4"/>
      <c r="AK4"/>
      <c r="AL4"/>
      <c r="AM4"/>
      <c r="AN4"/>
      <c r="AO4"/>
      <c r="AP4"/>
      <c r="AQ4"/>
      <c r="AR4"/>
      <c r="AS4"/>
    </row>
    <row r="5" spans="1:45" ht="16.3">
      <c r="A5" s="34"/>
      <c r="B5" s="34"/>
      <c r="C5" s="34"/>
      <c r="D5" s="34"/>
      <c r="E5" s="10" t="str">
        <f>CHOOSE(WEEKDAY(E3,2),$AJ$1,$AK$1,$AL$1,$AM$1,$AN$1,$AO$1,$AP$1)</f>
        <v xml:space="preserve">MAR </v>
      </c>
      <c r="F5" s="10" t="str">
        <f>CHOOSE(WEEKDAY(E3+1,2),$AJ$1,$AK$1,$AL$1,$AM$1,$AN$1,$AO$1,$AP$1)</f>
        <v>MIE</v>
      </c>
      <c r="G5" s="10" t="str">
        <f>CHOOSE(WEEKDAY(E3+2,2),$AJ$1,$AK$1,$AL$1,$AM$1,$AN$1,$AO$1,$AP$1)</f>
        <v>JUE</v>
      </c>
      <c r="H5" s="10" t="str">
        <f>CHOOSE(WEEKDAY(E3+3,2),$AJ$1,$AK$1,$AL$1,$AM$1,$AN$1,$AO$1,$AP$1)</f>
        <v>VIE</v>
      </c>
      <c r="I5" s="10" t="str">
        <f>CHOOSE(WEEKDAY(E3+4,2),$AJ$1,$AK$1,$AL$1,$AM$1,$AN$1,$AO$1,$AP$1)</f>
        <v>SAB</v>
      </c>
      <c r="J5" s="10" t="str">
        <f>CHOOSE(WEEKDAY(E3+5,2),$AJ$1,$AK$1,$AL$1,$AM$1,$AN$1,$AO$1,$AP$1)</f>
        <v xml:space="preserve">DOM </v>
      </c>
      <c r="K5" s="10" t="str">
        <f>CHOOSE(WEEKDAY(E3+6,2),$AJ$1,$AK$1,$AL$1,$AM$1,$AN$1,$AO$1,$AP$1)</f>
        <v>LUN</v>
      </c>
      <c r="L5" s="10" t="str">
        <f>CHOOSE(WEEKDAY(E3+7,2),$AJ$1,$AK$1,$AL$1,$AM$1,$AN$1,$AO$1,$AP$1)</f>
        <v xml:space="preserve">MAR </v>
      </c>
      <c r="M5" s="10" t="str">
        <f>CHOOSE(WEEKDAY(E3+8,2),$AJ$1,$AK$1,$AL$1,$AM$1,$AN$1,$AO$1,$AP$1)</f>
        <v>MIE</v>
      </c>
      <c r="N5" s="10" t="str">
        <f>CHOOSE(WEEKDAY(E3+9,2),$AJ$1,$AK$1,$AL$1,$AM$1,$AN$1,$AO$1,$AP$1)</f>
        <v>JUE</v>
      </c>
      <c r="O5" s="10" t="str">
        <f>CHOOSE(WEEKDAY(E3+10,2),$AJ$1,$AK$1,$AL$1,$AM$1,$AN$1,$AO$1,$AP$1)</f>
        <v>VIE</v>
      </c>
      <c r="P5" s="10" t="str">
        <f>CHOOSE(WEEKDAY(E3+11,2),$AJ$1,$AK$1,$AL$1,$AM$1,$AN$1,$AO$1,$AP$1)</f>
        <v>SAB</v>
      </c>
      <c r="Q5" s="10" t="str">
        <f>CHOOSE(WEEKDAY(E3+12,2),$AJ$1,$AK$1,$AL$1,$AM$1,$AN$1,$AO$1,$AP$1)</f>
        <v xml:space="preserve">DOM </v>
      </c>
      <c r="R5" s="10" t="str">
        <f>CHOOSE(WEEKDAY(E3+13,2),$AJ$1,$AK$1,$AL$1,$AM$1,$AN$1,$AO$1,$AP$1)</f>
        <v>LUN</v>
      </c>
      <c r="S5" s="10" t="str">
        <f>CHOOSE(WEEKDAY(E3+14,2),$AJ$1,$AK$1,$AL$1,$AM$1,$AN$1,$AO$1,$AP$1)</f>
        <v xml:space="preserve">MAR </v>
      </c>
      <c r="T5" s="10" t="str">
        <f>CHOOSE(WEEKDAY(E3+15,2),$AJ$1,$AK$1,$AL$1,$AM$1,$AN$1,$AO$1,$AP$1)</f>
        <v>MIE</v>
      </c>
      <c r="U5" s="10" t="str">
        <f>CHOOSE(WEEKDAY(E3+16,2),$AJ$1,$AK$1,$AL$1,$AM$1,$AN$1,$AO$1,$AP$1)</f>
        <v>JUE</v>
      </c>
      <c r="V5" s="10" t="str">
        <f>CHOOSE(WEEKDAY(E3+17,2),$AJ$1,$AK$1,$AL$1,$AM$1,$AN$1,$AO$1,$AP$1)</f>
        <v>VIE</v>
      </c>
      <c r="W5" s="10" t="str">
        <f>CHOOSE(WEEKDAY(E3+18,2),$AJ$1,$AK$1,$AL$1,$AM$1,$AN$1,$AO$1,$AP$1)</f>
        <v>SAB</v>
      </c>
      <c r="X5" s="10" t="str">
        <f>CHOOSE(WEEKDAY(E3+19,2),$AJ$1,$AK$1,$AL$1,$AM$1,$AN$1,$AO$1,$AP$1)</f>
        <v xml:space="preserve">DOM </v>
      </c>
      <c r="Y5" s="10" t="str">
        <f>CHOOSE(WEEKDAY(E3+20,2),$AJ$1,$AK$1,$AL$1,$AM$1,$AN$1,$AO$1,$AP$1)</f>
        <v>LUN</v>
      </c>
      <c r="Z5" s="10" t="str">
        <f>CHOOSE(WEEKDAY(E3+21,2),$AJ$1,$AK$1,$AL$1,$AM$1,$AN$1,$AO$1,$AP$1)</f>
        <v xml:space="preserve">MAR </v>
      </c>
      <c r="AA5" s="10" t="str">
        <f>CHOOSE(WEEKDAY(E3+22,2),$AJ$1,$AK$1,$AL$1,$AM$1,$AN$1,$AO$1,$AP$1)</f>
        <v>MIE</v>
      </c>
      <c r="AB5" s="10" t="str">
        <f>CHOOSE(WEEKDAY(E3+23,2),$AJ$1,$AK$1,$AL$1,$AM$1,$AN$1,$AO$1,$AP$1)</f>
        <v>JUE</v>
      </c>
      <c r="AC5" s="10" t="str">
        <f>CHOOSE(WEEKDAY(E3+24,2),$AJ$1,$AK$1,$AL$1,$AM$1,$AN$1,$AO$1,$AP$1)</f>
        <v>VIE</v>
      </c>
      <c r="AD5" s="10" t="str">
        <f>CHOOSE(WEEKDAY(E3+25,2),$AJ$1,$AK$1,$AL$1,$AM$1,$AN$1,$AO$1,$AP$1)</f>
        <v>SAB</v>
      </c>
      <c r="AE5" s="10" t="str">
        <f>CHOOSE(WEEKDAY(E3+26,2),$AJ$1,$AK$1,$AL$1,$AM$1,$AN$1,$AO$1,$AP$1)</f>
        <v xml:space="preserve">DOM </v>
      </c>
      <c r="AF5" s="10" t="str">
        <f>CHOOSE(WEEKDAY(E3+27,2),$AJ$1,$AK$1,$AL$1,$AM$1,$AN$1,$AO$1,$AP$1)</f>
        <v>LUN</v>
      </c>
      <c r="AG5" s="10" t="str">
        <f>CHOOSE(WEEKDAY(E3+28,2),$AJ$1,$AK$1,$AL$1,$AM$1,$AN$1,$AO$1,$AP$1)</f>
        <v xml:space="preserve">MAR </v>
      </c>
      <c r="AH5" s="10" t="str">
        <f>CHOOSE(WEEKDAY(E3+29,2),$AJ$1,$AK$1,$AL$1,$AM$1,$AN$1,$AO$1,$AP$1)</f>
        <v>MIE</v>
      </c>
      <c r="AI5" s="10" t="str">
        <f>CHOOSE(WEEKDAY(E3+30,2),$AJ$1,$AK$1,$AL$1,$AM$1,$AN$1,$AO$1,$AP$1)</f>
        <v>JUE</v>
      </c>
      <c r="AJ5"/>
      <c r="AK5" s="4"/>
      <c r="AL5" s="4"/>
      <c r="AM5" s="4"/>
      <c r="AN5" s="4"/>
      <c r="AO5" s="4"/>
      <c r="AP5" s="4"/>
      <c r="AQ5" s="4"/>
      <c r="AR5" s="4"/>
      <c r="AS5" s="4"/>
    </row>
    <row r="6" spans="1:45">
      <c r="A6" s="3" t="s">
        <v>27</v>
      </c>
      <c r="B6" s="3" t="s">
        <v>28</v>
      </c>
      <c r="C6" s="3" t="s">
        <v>33</v>
      </c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/>
      <c r="AK6" s="4"/>
      <c r="AL6" s="4"/>
      <c r="AM6" s="4"/>
      <c r="AN6" s="4"/>
      <c r="AO6" s="4"/>
      <c r="AP6" s="4"/>
      <c r="AQ6" s="4"/>
      <c r="AR6" s="4"/>
      <c r="AS6" s="4"/>
    </row>
    <row r="7" spans="1:45" ht="25.85">
      <c r="A7" s="3" t="s">
        <v>29</v>
      </c>
      <c r="B7" s="3" t="s">
        <v>30</v>
      </c>
      <c r="C7" s="3" t="s">
        <v>33</v>
      </c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/>
      <c r="AK7" s="4"/>
      <c r="AL7" s="4"/>
      <c r="AM7" s="4"/>
      <c r="AN7" s="4"/>
      <c r="AO7" s="4"/>
      <c r="AP7" s="4"/>
      <c r="AQ7" s="4"/>
      <c r="AR7" s="4"/>
      <c r="AS7" s="4"/>
    </row>
    <row r="8" spans="1:45" ht="25.85">
      <c r="A8" s="3" t="s">
        <v>31</v>
      </c>
      <c r="B8" s="3" t="s">
        <v>32</v>
      </c>
      <c r="C8" s="3" t="s">
        <v>33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/>
      <c r="AK8"/>
      <c r="AL8"/>
      <c r="AM8"/>
      <c r="AN8"/>
      <c r="AO8"/>
      <c r="AP8"/>
      <c r="AQ8"/>
      <c r="AR8"/>
      <c r="AS8"/>
    </row>
    <row r="9" spans="1:45" ht="25.85">
      <c r="A9" s="3" t="s">
        <v>44</v>
      </c>
      <c r="B9" s="3" t="s">
        <v>34</v>
      </c>
      <c r="C9" s="3" t="s">
        <v>33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/>
      <c r="AK9"/>
      <c r="AL9"/>
      <c r="AM9"/>
      <c r="AN9"/>
      <c r="AO9"/>
      <c r="AP9"/>
      <c r="AQ9"/>
      <c r="AR9"/>
      <c r="AS9"/>
    </row>
    <row r="10" spans="1:45" ht="38.75">
      <c r="A10" s="3" t="s">
        <v>45</v>
      </c>
      <c r="B10" s="3" t="s">
        <v>35</v>
      </c>
      <c r="C10" s="3" t="s">
        <v>33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/>
      <c r="AK10"/>
      <c r="AL10"/>
      <c r="AM10"/>
      <c r="AN10"/>
      <c r="AO10"/>
      <c r="AP10"/>
      <c r="AQ10"/>
      <c r="AR10"/>
      <c r="AS10"/>
    </row>
    <row r="11" spans="1:45" ht="25.85">
      <c r="A11" s="3" t="s">
        <v>46</v>
      </c>
      <c r="B11" s="3" t="s">
        <v>36</v>
      </c>
      <c r="C11" s="3" t="s">
        <v>33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/>
      <c r="AK11"/>
      <c r="AL11"/>
      <c r="AM11"/>
      <c r="AN11"/>
      <c r="AO11"/>
      <c r="AP11"/>
      <c r="AQ11"/>
      <c r="AR11"/>
      <c r="AS11"/>
    </row>
    <row r="12" spans="1:45" ht="25.85">
      <c r="A12" s="3" t="s">
        <v>47</v>
      </c>
      <c r="B12" s="3" t="s">
        <v>37</v>
      </c>
      <c r="C12" s="3" t="s">
        <v>33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/>
      <c r="AK12"/>
      <c r="AL12"/>
      <c r="AM12"/>
      <c r="AN12"/>
      <c r="AO12"/>
      <c r="AP12"/>
      <c r="AQ12"/>
      <c r="AR12"/>
      <c r="AS12"/>
    </row>
    <row r="13" spans="1:45" ht="25.85">
      <c r="A13" s="3" t="s">
        <v>48</v>
      </c>
      <c r="B13" s="3" t="s">
        <v>38</v>
      </c>
      <c r="C13" s="3" t="s">
        <v>33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/>
      <c r="AK13"/>
      <c r="AL13"/>
      <c r="AM13"/>
      <c r="AN13"/>
      <c r="AO13"/>
      <c r="AP13"/>
      <c r="AQ13"/>
      <c r="AR13"/>
      <c r="AS13"/>
    </row>
    <row r="14" spans="1:45" ht="38.75">
      <c r="A14" s="3" t="s">
        <v>49</v>
      </c>
      <c r="B14" s="3" t="s">
        <v>39</v>
      </c>
      <c r="C14" s="3" t="s">
        <v>33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/>
      <c r="AK14"/>
      <c r="AL14"/>
      <c r="AM14"/>
      <c r="AN14"/>
      <c r="AO14"/>
      <c r="AP14"/>
      <c r="AQ14"/>
      <c r="AR14"/>
      <c r="AS14"/>
    </row>
    <row r="15" spans="1:45" ht="25.85">
      <c r="A15" s="3" t="s">
        <v>50</v>
      </c>
      <c r="B15" s="3" t="s">
        <v>40</v>
      </c>
      <c r="C15" s="3" t="s">
        <v>33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/>
      <c r="AK15"/>
      <c r="AL15"/>
      <c r="AM15"/>
      <c r="AN15"/>
      <c r="AO15"/>
      <c r="AP15"/>
      <c r="AQ15"/>
      <c r="AR15"/>
      <c r="AS15"/>
    </row>
    <row r="16" spans="1:45" ht="25.85">
      <c r="A16" s="3" t="s">
        <v>51</v>
      </c>
      <c r="B16" s="3" t="s">
        <v>41</v>
      </c>
      <c r="C16" s="3" t="s">
        <v>33</v>
      </c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/>
      <c r="AK16"/>
      <c r="AL16"/>
      <c r="AM16"/>
      <c r="AN16"/>
      <c r="AO16"/>
      <c r="AP16"/>
      <c r="AQ16"/>
      <c r="AR16"/>
      <c r="AS16"/>
    </row>
    <row r="17" spans="1:45" ht="25.85">
      <c r="A17" s="3" t="s">
        <v>52</v>
      </c>
      <c r="B17" s="3" t="s">
        <v>42</v>
      </c>
      <c r="C17" s="3" t="s">
        <v>33</v>
      </c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/>
      <c r="AK17"/>
      <c r="AL17"/>
      <c r="AM17"/>
      <c r="AN17"/>
      <c r="AO17"/>
      <c r="AP17"/>
      <c r="AQ17"/>
      <c r="AR17"/>
      <c r="AS17"/>
    </row>
    <row r="18" spans="1:45" ht="38.75">
      <c r="A18" s="3" t="s">
        <v>53</v>
      </c>
      <c r="B18" s="3" t="s">
        <v>43</v>
      </c>
      <c r="C18" s="3" t="s">
        <v>33</v>
      </c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/>
      <c r="AK18"/>
      <c r="AL18"/>
      <c r="AM18"/>
      <c r="AN18"/>
      <c r="AO18"/>
      <c r="AP18"/>
      <c r="AQ18"/>
      <c r="AR18"/>
      <c r="AS18"/>
    </row>
    <row r="19" spans="1:45">
      <c r="A19" s="3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/>
      <c r="AK19"/>
      <c r="AL19"/>
      <c r="AM19"/>
      <c r="AN19"/>
      <c r="AO19"/>
      <c r="AP19"/>
      <c r="AQ19"/>
      <c r="AR19"/>
      <c r="AS19"/>
    </row>
    <row r="20" spans="1:45">
      <c r="A20" s="3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/>
      <c r="AK20"/>
      <c r="AL20"/>
      <c r="AM20"/>
      <c r="AN20"/>
      <c r="AO20"/>
      <c r="AP20"/>
      <c r="AQ20"/>
      <c r="AR20"/>
      <c r="AS20"/>
    </row>
    <row r="21" spans="1:45">
      <c r="A21" s="3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/>
      <c r="AK21"/>
      <c r="AL21"/>
      <c r="AM21"/>
      <c r="AN21"/>
      <c r="AO21"/>
      <c r="AP21"/>
      <c r="AQ21"/>
      <c r="AR21"/>
      <c r="AS21"/>
    </row>
    <row r="22" spans="1:45">
      <c r="A22" s="3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/>
      <c r="AK22"/>
      <c r="AL22"/>
      <c r="AM22"/>
      <c r="AN22"/>
      <c r="AO22"/>
      <c r="AP22"/>
      <c r="AQ22"/>
      <c r="AR22"/>
      <c r="AS22"/>
    </row>
    <row r="23" spans="1:45">
      <c r="A23" s="3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/>
      <c r="AK23"/>
      <c r="AL23"/>
      <c r="AM23"/>
      <c r="AN23"/>
      <c r="AO23"/>
      <c r="AP23"/>
      <c r="AQ23"/>
      <c r="AR23"/>
      <c r="AS23"/>
    </row>
    <row r="24" spans="1:45">
      <c r="A24" s="3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/>
      <c r="AK24"/>
      <c r="AL24"/>
      <c r="AM24"/>
      <c r="AN24"/>
      <c r="AO24"/>
      <c r="AP24"/>
      <c r="AQ24"/>
      <c r="AR24"/>
      <c r="AS24"/>
    </row>
    <row r="25" spans="1:45">
      <c r="A25" s="3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/>
      <c r="AK25"/>
      <c r="AL25"/>
      <c r="AM25"/>
      <c r="AN25"/>
      <c r="AO25"/>
      <c r="AP25"/>
      <c r="AQ25"/>
      <c r="AR25"/>
      <c r="AS25"/>
    </row>
    <row r="26" spans="1:45">
      <c r="A26" s="3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/>
      <c r="AK26"/>
      <c r="AL26"/>
      <c r="AM26"/>
      <c r="AN26"/>
      <c r="AO26"/>
      <c r="AP26"/>
      <c r="AQ26"/>
      <c r="AR26"/>
      <c r="AS26"/>
    </row>
    <row r="27" spans="1:45">
      <c r="A27" s="3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/>
      <c r="AK27"/>
      <c r="AL27"/>
      <c r="AM27"/>
      <c r="AN27"/>
      <c r="AO27"/>
      <c r="AP27"/>
      <c r="AQ27"/>
      <c r="AR27"/>
      <c r="AS27"/>
    </row>
    <row r="28" spans="1:45">
      <c r="A28" s="3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/>
      <c r="AK28"/>
      <c r="AL28"/>
      <c r="AM28"/>
      <c r="AN28"/>
      <c r="AO28"/>
      <c r="AP28"/>
      <c r="AQ28"/>
      <c r="AR28"/>
      <c r="AS28"/>
    </row>
    <row r="29" spans="1:45">
      <c r="A29" s="3"/>
      <c r="B29" s="3"/>
      <c r="C29" s="3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/>
      <c r="AK29"/>
      <c r="AL29"/>
      <c r="AM29"/>
      <c r="AN29"/>
      <c r="AO29"/>
      <c r="AP29"/>
      <c r="AQ29"/>
      <c r="AR29"/>
      <c r="AS29"/>
    </row>
    <row r="30" spans="1:45">
      <c r="A30" s="3"/>
      <c r="B30" s="3"/>
      <c r="C30" s="3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/>
      <c r="AK30"/>
      <c r="AL30"/>
      <c r="AM30"/>
      <c r="AN30"/>
      <c r="AO30"/>
      <c r="AP30"/>
      <c r="AQ30"/>
      <c r="AR30"/>
      <c r="AS30"/>
    </row>
    <row r="31" spans="1:45">
      <c r="A31" s="3"/>
      <c r="B31" s="3"/>
      <c r="C31" s="3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/>
      <c r="AK31"/>
      <c r="AL31"/>
      <c r="AM31"/>
      <c r="AN31"/>
      <c r="AO31"/>
      <c r="AP31"/>
      <c r="AQ31"/>
      <c r="AR31"/>
      <c r="AS31"/>
    </row>
    <row r="32" spans="1:45">
      <c r="A32" s="3"/>
      <c r="B32" s="3"/>
      <c r="C32" s="3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/>
      <c r="AK32"/>
      <c r="AL32"/>
      <c r="AM32"/>
      <c r="AN32"/>
      <c r="AO32"/>
      <c r="AP32"/>
      <c r="AQ32"/>
      <c r="AR32"/>
      <c r="AS32"/>
    </row>
    <row r="33" spans="1:45">
      <c r="A33" s="3"/>
      <c r="B33" s="3"/>
      <c r="C33" s="3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/>
      <c r="AK33"/>
      <c r="AL33"/>
      <c r="AM33"/>
      <c r="AN33"/>
      <c r="AO33"/>
      <c r="AP33"/>
      <c r="AQ33"/>
      <c r="AR33"/>
      <c r="AS33"/>
    </row>
    <row r="34" spans="1:45">
      <c r="A34" s="3"/>
      <c r="B34" s="3"/>
      <c r="C34" s="3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/>
      <c r="AK34"/>
      <c r="AL34"/>
      <c r="AM34"/>
      <c r="AN34"/>
      <c r="AO34"/>
      <c r="AP34"/>
      <c r="AQ34"/>
      <c r="AR34"/>
      <c r="AS34"/>
    </row>
    <row r="35" spans="1:45">
      <c r="A35" s="3"/>
      <c r="B35" s="3"/>
      <c r="C35" s="3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/>
      <c r="AK35"/>
      <c r="AL35"/>
      <c r="AM35"/>
      <c r="AN35"/>
      <c r="AO35"/>
      <c r="AP35"/>
      <c r="AQ35"/>
      <c r="AR35"/>
      <c r="AS35"/>
    </row>
    <row r="36" spans="1:45">
      <c r="A36" s="3"/>
      <c r="B36" s="3"/>
      <c r="C36" s="3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/>
      <c r="AK36"/>
      <c r="AL36"/>
      <c r="AM36"/>
      <c r="AN36"/>
      <c r="AO36"/>
      <c r="AP36"/>
      <c r="AQ36"/>
      <c r="AR36"/>
      <c r="AS36"/>
    </row>
    <row r="37" spans="1:45">
      <c r="A37" s="3"/>
      <c r="B37" s="3"/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/>
      <c r="AK37"/>
      <c r="AL37"/>
      <c r="AM37"/>
      <c r="AN37"/>
      <c r="AO37"/>
      <c r="AP37"/>
      <c r="AQ37"/>
      <c r="AR37"/>
      <c r="AS37"/>
    </row>
    <row r="38" spans="1:45">
      <c r="A38" s="3"/>
      <c r="B38" s="3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/>
      <c r="AK38"/>
      <c r="AL38"/>
      <c r="AM38"/>
      <c r="AN38"/>
      <c r="AO38"/>
      <c r="AP38"/>
      <c r="AQ38"/>
      <c r="AR38"/>
      <c r="AS38"/>
    </row>
    <row r="39" spans="1:45">
      <c r="A39" s="3"/>
      <c r="B39" s="3"/>
      <c r="C39" s="3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/>
      <c r="AK39"/>
      <c r="AL39"/>
      <c r="AM39"/>
      <c r="AN39"/>
      <c r="AO39"/>
      <c r="AP39"/>
      <c r="AQ39"/>
      <c r="AR39"/>
      <c r="AS39"/>
    </row>
    <row r="40" spans="1:45">
      <c r="A40" s="3"/>
      <c r="B40" s="3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/>
      <c r="AK40"/>
      <c r="AL40"/>
      <c r="AM40"/>
      <c r="AN40"/>
      <c r="AO40"/>
      <c r="AP40"/>
      <c r="AQ40"/>
      <c r="AR40"/>
      <c r="AS40"/>
    </row>
    <row r="41" spans="1:45">
      <c r="A41" s="3"/>
      <c r="B41" s="3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/>
      <c r="AK41"/>
      <c r="AL41"/>
      <c r="AM41"/>
      <c r="AN41"/>
      <c r="AO41"/>
      <c r="AP41"/>
      <c r="AQ41"/>
      <c r="AR41"/>
      <c r="AS41"/>
    </row>
    <row r="42" spans="1:45">
      <c r="A42" s="3"/>
      <c r="B42" s="3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/>
      <c r="AK42"/>
      <c r="AL42"/>
      <c r="AM42"/>
      <c r="AN42"/>
      <c r="AO42"/>
      <c r="AP42"/>
      <c r="AQ42"/>
      <c r="AR42"/>
      <c r="AS42"/>
    </row>
    <row r="43" spans="1:45">
      <c r="A43" s="3"/>
      <c r="B43" s="3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/>
      <c r="AK43"/>
      <c r="AL43"/>
      <c r="AM43"/>
      <c r="AN43"/>
      <c r="AO43"/>
      <c r="AP43"/>
      <c r="AQ43"/>
      <c r="AR43"/>
      <c r="AS43"/>
    </row>
    <row r="44" spans="1:45">
      <c r="A44" s="3"/>
      <c r="B44" s="3"/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/>
      <c r="AK44"/>
      <c r="AL44"/>
      <c r="AM44"/>
      <c r="AN44"/>
      <c r="AO44"/>
      <c r="AP44"/>
      <c r="AQ44"/>
      <c r="AR44"/>
      <c r="AS44"/>
    </row>
    <row r="45" spans="1:45">
      <c r="A45" s="3"/>
      <c r="B45" s="3"/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/>
      <c r="AK45"/>
      <c r="AL45"/>
      <c r="AM45"/>
      <c r="AN45"/>
      <c r="AO45"/>
      <c r="AP45"/>
      <c r="AQ45"/>
      <c r="AR45"/>
      <c r="AS45"/>
    </row>
    <row r="46" spans="1:45">
      <c r="A46" s="3"/>
      <c r="B46" s="3"/>
      <c r="C46" s="3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/>
      <c r="AK46"/>
      <c r="AL46"/>
      <c r="AM46"/>
      <c r="AN46"/>
      <c r="AO46"/>
      <c r="AP46"/>
      <c r="AQ46"/>
      <c r="AR46"/>
      <c r="AS46"/>
    </row>
    <row r="47" spans="1:45">
      <c r="A47" s="3"/>
      <c r="B47" s="3"/>
      <c r="C47" s="3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/>
      <c r="AK47"/>
      <c r="AL47"/>
      <c r="AM47"/>
      <c r="AN47"/>
      <c r="AO47"/>
      <c r="AP47"/>
      <c r="AQ47"/>
      <c r="AR47"/>
      <c r="AS47"/>
    </row>
    <row r="48" spans="1:45">
      <c r="A48" s="3"/>
      <c r="B48" s="3"/>
      <c r="C48" s="3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/>
      <c r="AK48"/>
      <c r="AL48"/>
      <c r="AM48"/>
      <c r="AN48"/>
      <c r="AO48"/>
      <c r="AP48"/>
      <c r="AQ48"/>
      <c r="AR48"/>
      <c r="AS48"/>
    </row>
    <row r="49" spans="1:45">
      <c r="A49" s="3"/>
      <c r="B49" s="3"/>
      <c r="C49" s="3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/>
      <c r="AK49"/>
      <c r="AL49"/>
      <c r="AM49"/>
      <c r="AN49"/>
      <c r="AO49"/>
      <c r="AP49"/>
      <c r="AQ49"/>
      <c r="AR49"/>
      <c r="AS49"/>
    </row>
    <row r="50" spans="1:45">
      <c r="A50" s="3"/>
      <c r="B50" s="3"/>
      <c r="C50" s="3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/>
      <c r="AK50"/>
      <c r="AL50"/>
      <c r="AM50"/>
      <c r="AN50"/>
      <c r="AO50"/>
      <c r="AP50"/>
      <c r="AQ50"/>
      <c r="AR50"/>
      <c r="AS50"/>
    </row>
    <row r="51" spans="1:45">
      <c r="A51" s="3"/>
      <c r="B51" s="3"/>
      <c r="C51" s="3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/>
      <c r="AK51"/>
      <c r="AL51"/>
      <c r="AM51"/>
      <c r="AN51"/>
      <c r="AO51"/>
      <c r="AP51"/>
      <c r="AQ51"/>
      <c r="AR51"/>
      <c r="AS51"/>
    </row>
    <row r="52" spans="1:45">
      <c r="A52" s="3"/>
      <c r="B52" s="3"/>
      <c r="C52" s="3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/>
      <c r="AK52"/>
      <c r="AL52"/>
      <c r="AM52"/>
      <c r="AN52"/>
      <c r="AO52"/>
      <c r="AP52"/>
      <c r="AQ52"/>
      <c r="AR52"/>
      <c r="AS52"/>
    </row>
    <row r="53" spans="1:45">
      <c r="A53" s="3"/>
      <c r="B53" s="3"/>
      <c r="C53" s="3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/>
      <c r="AK53"/>
      <c r="AL53"/>
      <c r="AM53"/>
      <c r="AN53"/>
      <c r="AO53"/>
      <c r="AP53"/>
      <c r="AQ53"/>
      <c r="AR53"/>
      <c r="AS53"/>
    </row>
    <row r="54" spans="1:45">
      <c r="A54" s="3"/>
      <c r="B54" s="3"/>
      <c r="C54" s="3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/>
      <c r="AK54"/>
      <c r="AL54"/>
      <c r="AM54"/>
      <c r="AN54"/>
      <c r="AO54"/>
      <c r="AP54"/>
      <c r="AQ54"/>
      <c r="AR54"/>
      <c r="AS54"/>
    </row>
    <row r="55" spans="1:45">
      <c r="A55" s="3"/>
      <c r="B55" s="3"/>
      <c r="C55" s="3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/>
      <c r="AK55"/>
      <c r="AL55"/>
      <c r="AM55"/>
      <c r="AN55"/>
      <c r="AO55"/>
      <c r="AP55"/>
      <c r="AQ55"/>
      <c r="AR55"/>
      <c r="AS55"/>
    </row>
    <row r="56" spans="1:45">
      <c r="A56" s="3"/>
      <c r="B56" s="3"/>
      <c r="C56" s="3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/>
      <c r="AK56"/>
      <c r="AL56"/>
      <c r="AM56"/>
      <c r="AN56"/>
      <c r="AO56"/>
      <c r="AP56"/>
      <c r="AQ56"/>
      <c r="AR56"/>
      <c r="AS56"/>
    </row>
    <row r="57" spans="1:45">
      <c r="A57" s="3"/>
      <c r="B57" s="3"/>
      <c r="C57" s="3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/>
      <c r="AK57"/>
      <c r="AL57"/>
      <c r="AM57"/>
      <c r="AN57"/>
      <c r="AO57"/>
      <c r="AP57"/>
      <c r="AQ57"/>
      <c r="AR57"/>
      <c r="AS57"/>
    </row>
    <row r="58" spans="1:45">
      <c r="A58" s="3"/>
      <c r="B58" s="3"/>
      <c r="C58" s="3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/>
      <c r="AK58"/>
      <c r="AL58"/>
      <c r="AM58"/>
      <c r="AN58"/>
      <c r="AO58"/>
      <c r="AP58"/>
      <c r="AQ58"/>
      <c r="AR58"/>
      <c r="AS58"/>
    </row>
    <row r="59" spans="1:45">
      <c r="A59" s="3"/>
      <c r="B59" s="3"/>
      <c r="C59" s="3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/>
      <c r="AK59"/>
      <c r="AL59"/>
      <c r="AM59"/>
      <c r="AN59"/>
      <c r="AO59"/>
      <c r="AP59"/>
      <c r="AQ59"/>
      <c r="AR59"/>
      <c r="AS59"/>
    </row>
    <row r="60" spans="1:45">
      <c r="A60" s="3"/>
      <c r="B60" s="3"/>
      <c r="C60" s="3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/>
      <c r="AK60"/>
      <c r="AL60"/>
      <c r="AM60"/>
      <c r="AN60"/>
      <c r="AO60"/>
      <c r="AP60"/>
      <c r="AQ60"/>
      <c r="AR60"/>
      <c r="AS60"/>
    </row>
    <row r="61" spans="1:45">
      <c r="A61" s="3"/>
      <c r="B61" s="3"/>
      <c r="C61" s="3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/>
      <c r="AK61"/>
      <c r="AL61"/>
      <c r="AM61"/>
      <c r="AN61"/>
      <c r="AO61"/>
      <c r="AP61"/>
      <c r="AQ61"/>
      <c r="AR61"/>
      <c r="AS61"/>
    </row>
    <row r="62" spans="1:45">
      <c r="A62" s="3"/>
      <c r="B62" s="3"/>
      <c r="C62" s="3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/>
      <c r="AK62"/>
      <c r="AL62"/>
      <c r="AM62"/>
      <c r="AN62"/>
      <c r="AO62"/>
      <c r="AP62"/>
      <c r="AQ62"/>
      <c r="AR62"/>
      <c r="AS62"/>
    </row>
    <row r="63" spans="1:45">
      <c r="A63" s="3"/>
      <c r="B63" s="3"/>
      <c r="C63" s="3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/>
      <c r="AK63"/>
      <c r="AL63"/>
      <c r="AM63"/>
      <c r="AN63"/>
      <c r="AO63"/>
      <c r="AP63"/>
      <c r="AQ63"/>
      <c r="AR63"/>
      <c r="AS63"/>
    </row>
    <row r="64" spans="1:45">
      <c r="A64" s="3"/>
      <c r="B64" s="3"/>
      <c r="C64" s="3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/>
      <c r="AK64"/>
      <c r="AL64"/>
      <c r="AM64"/>
      <c r="AN64"/>
      <c r="AO64"/>
      <c r="AP64"/>
      <c r="AQ64"/>
      <c r="AR64"/>
      <c r="AS64"/>
    </row>
    <row r="65" spans="1:45">
      <c r="A65" s="3"/>
      <c r="B65" s="3"/>
      <c r="C65" s="3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/>
      <c r="AK65"/>
      <c r="AL65"/>
      <c r="AM65"/>
      <c r="AN65"/>
      <c r="AO65"/>
      <c r="AP65"/>
      <c r="AQ65"/>
      <c r="AR65"/>
      <c r="AS65"/>
    </row>
    <row r="66" spans="1:45">
      <c r="A66" s="3"/>
      <c r="B66" s="3"/>
      <c r="C66" s="3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/>
      <c r="AK66"/>
      <c r="AL66"/>
      <c r="AM66"/>
      <c r="AN66"/>
      <c r="AO66"/>
      <c r="AP66"/>
      <c r="AQ66"/>
      <c r="AR66"/>
      <c r="AS66"/>
    </row>
    <row r="67" spans="1:45">
      <c r="A67" s="3"/>
      <c r="B67" s="3"/>
      <c r="C67" s="3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/>
      <c r="AK67"/>
      <c r="AL67"/>
      <c r="AM67"/>
      <c r="AN67"/>
      <c r="AO67"/>
      <c r="AP67"/>
      <c r="AQ67"/>
      <c r="AR67"/>
      <c r="AS67"/>
    </row>
    <row r="68" spans="1:45">
      <c r="A68" s="3"/>
      <c r="B68" s="3"/>
      <c r="C68" s="3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/>
      <c r="AK68"/>
      <c r="AL68"/>
      <c r="AM68"/>
      <c r="AN68"/>
      <c r="AO68"/>
      <c r="AP68"/>
      <c r="AQ68"/>
      <c r="AR68"/>
      <c r="AS68"/>
    </row>
    <row r="69" spans="1:45">
      <c r="A69" s="3"/>
      <c r="B69" s="3"/>
      <c r="C69" s="3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/>
      <c r="AK69"/>
      <c r="AL69"/>
      <c r="AM69"/>
      <c r="AN69"/>
      <c r="AO69"/>
      <c r="AP69"/>
      <c r="AQ69"/>
      <c r="AR69"/>
      <c r="AS69"/>
    </row>
    <row r="70" spans="1:45">
      <c r="A70" s="3"/>
      <c r="B70" s="3"/>
      <c r="C70" s="3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/>
      <c r="AK70"/>
      <c r="AL70"/>
      <c r="AM70"/>
      <c r="AN70"/>
      <c r="AO70"/>
      <c r="AP70"/>
      <c r="AQ70"/>
      <c r="AR70"/>
      <c r="AS70"/>
    </row>
    <row r="71" spans="1:45">
      <c r="A71" s="3"/>
      <c r="B71" s="3"/>
      <c r="C71" s="3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/>
      <c r="AK71"/>
      <c r="AL71"/>
      <c r="AM71"/>
      <c r="AN71"/>
      <c r="AO71"/>
      <c r="AP71"/>
      <c r="AQ71"/>
      <c r="AR71"/>
      <c r="AS71"/>
    </row>
    <row r="72" spans="1:45">
      <c r="A72" s="3"/>
      <c r="B72" s="3"/>
      <c r="C72" s="3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/>
      <c r="AK72"/>
      <c r="AL72"/>
      <c r="AM72"/>
      <c r="AN72"/>
      <c r="AO72"/>
      <c r="AP72"/>
      <c r="AQ72"/>
      <c r="AR72"/>
      <c r="AS72"/>
    </row>
    <row r="73" spans="1:45">
      <c r="A73" s="3"/>
      <c r="B73" s="3"/>
      <c r="C73" s="3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/>
      <c r="AK73"/>
      <c r="AL73"/>
      <c r="AM73"/>
      <c r="AN73"/>
      <c r="AO73"/>
      <c r="AP73"/>
      <c r="AQ73"/>
      <c r="AR73"/>
      <c r="AS73"/>
    </row>
    <row r="74" spans="1:45">
      <c r="A74" s="3"/>
      <c r="B74" s="3"/>
      <c r="C74" s="3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/>
      <c r="AK74"/>
      <c r="AL74"/>
      <c r="AM74"/>
      <c r="AN74"/>
      <c r="AO74"/>
      <c r="AP74"/>
      <c r="AQ74"/>
      <c r="AR74"/>
      <c r="AS74"/>
    </row>
    <row r="75" spans="1:45">
      <c r="A75" s="3"/>
      <c r="B75" s="3"/>
      <c r="C75" s="3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/>
      <c r="AK75"/>
      <c r="AL75"/>
      <c r="AM75"/>
      <c r="AN75"/>
      <c r="AO75"/>
      <c r="AP75"/>
      <c r="AQ75"/>
      <c r="AR75"/>
      <c r="AS75"/>
    </row>
    <row r="76" spans="1:45">
      <c r="A76" s="3"/>
      <c r="B76" s="3"/>
      <c r="C76" s="3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/>
      <c r="AK76"/>
      <c r="AL76"/>
      <c r="AM76"/>
      <c r="AN76"/>
      <c r="AO76"/>
      <c r="AP76"/>
      <c r="AQ76"/>
      <c r="AR76"/>
      <c r="AS76"/>
    </row>
    <row r="77" spans="1:45">
      <c r="A77" s="3"/>
      <c r="B77" s="3"/>
      <c r="C77" s="3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/>
      <c r="AK77"/>
      <c r="AL77"/>
      <c r="AM77"/>
      <c r="AN77"/>
      <c r="AO77"/>
      <c r="AP77"/>
      <c r="AQ77"/>
      <c r="AR77"/>
      <c r="AS77"/>
    </row>
    <row r="78" spans="1:45">
      <c r="A78" s="3"/>
      <c r="B78" s="3"/>
      <c r="C78" s="3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/>
      <c r="AK78"/>
      <c r="AL78"/>
      <c r="AM78"/>
      <c r="AN78"/>
      <c r="AO78"/>
      <c r="AP78"/>
      <c r="AQ78"/>
      <c r="AR78"/>
      <c r="AS78"/>
    </row>
    <row r="79" spans="1:45">
      <c r="A79" s="3"/>
      <c r="B79" s="3"/>
      <c r="C79" s="3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/>
      <c r="AK79"/>
      <c r="AL79"/>
      <c r="AM79"/>
      <c r="AN79"/>
      <c r="AO79"/>
      <c r="AP79"/>
      <c r="AQ79"/>
      <c r="AR79"/>
      <c r="AS79"/>
    </row>
    <row r="80" spans="1:45">
      <c r="A80" s="3"/>
      <c r="B80" s="3"/>
      <c r="C80" s="3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/>
      <c r="AK80"/>
      <c r="AL80"/>
      <c r="AM80"/>
      <c r="AN80"/>
      <c r="AO80"/>
      <c r="AP80"/>
      <c r="AQ80"/>
      <c r="AR80"/>
      <c r="AS80"/>
    </row>
    <row r="81" spans="1:45">
      <c r="A81" s="3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/>
      <c r="AK81"/>
      <c r="AL81"/>
      <c r="AM81"/>
      <c r="AN81"/>
      <c r="AO81"/>
      <c r="AP81"/>
      <c r="AQ81"/>
      <c r="AR81"/>
      <c r="AS81"/>
    </row>
    <row r="82" spans="1:45">
      <c r="A82" s="3"/>
      <c r="B82" s="3"/>
      <c r="C82" s="3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/>
      <c r="AK82"/>
      <c r="AL82"/>
      <c r="AM82"/>
      <c r="AN82"/>
      <c r="AO82"/>
      <c r="AP82"/>
      <c r="AQ82"/>
      <c r="AR82"/>
      <c r="AS82"/>
    </row>
    <row r="83" spans="1:45">
      <c r="A83" s="3"/>
      <c r="B83" s="3"/>
      <c r="C83" s="3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/>
      <c r="AK83"/>
      <c r="AL83"/>
      <c r="AM83"/>
      <c r="AN83"/>
      <c r="AO83"/>
      <c r="AP83"/>
      <c r="AQ83"/>
      <c r="AR83"/>
      <c r="AS83"/>
    </row>
    <row r="84" spans="1:45">
      <c r="A84" s="3"/>
      <c r="B84" s="3"/>
      <c r="C84" s="3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/>
      <c r="AK84"/>
      <c r="AL84"/>
      <c r="AM84"/>
      <c r="AN84"/>
      <c r="AO84"/>
      <c r="AP84"/>
      <c r="AQ84"/>
      <c r="AR84"/>
      <c r="AS84"/>
    </row>
    <row r="85" spans="1:45">
      <c r="A85" s="3"/>
      <c r="B85" s="3"/>
      <c r="C85" s="3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/>
      <c r="AK85"/>
      <c r="AL85"/>
      <c r="AM85"/>
      <c r="AN85"/>
      <c r="AO85"/>
      <c r="AP85"/>
      <c r="AQ85"/>
      <c r="AR85"/>
      <c r="AS85"/>
    </row>
    <row r="86" spans="1:45">
      <c r="A86" s="3"/>
      <c r="B86" s="3"/>
      <c r="C86" s="3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/>
      <c r="AK86"/>
      <c r="AL86"/>
      <c r="AM86"/>
      <c r="AN86"/>
      <c r="AO86"/>
      <c r="AP86"/>
      <c r="AQ86"/>
      <c r="AR86"/>
      <c r="AS86"/>
    </row>
    <row r="87" spans="1:45">
      <c r="A87" s="3"/>
      <c r="B87" s="3"/>
      <c r="C87" s="3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/>
      <c r="AK87"/>
      <c r="AL87"/>
      <c r="AM87"/>
      <c r="AN87"/>
      <c r="AO87"/>
      <c r="AP87"/>
      <c r="AQ87"/>
      <c r="AR87"/>
      <c r="AS87"/>
    </row>
    <row r="88" spans="1:45">
      <c r="A88" s="3"/>
      <c r="B88" s="3"/>
      <c r="C88" s="3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/>
      <c r="AK88"/>
      <c r="AL88"/>
      <c r="AM88"/>
      <c r="AN88"/>
      <c r="AO88"/>
      <c r="AP88"/>
      <c r="AQ88"/>
      <c r="AR88"/>
      <c r="AS88"/>
    </row>
    <row r="89" spans="1:45">
      <c r="A89" s="3"/>
      <c r="B89" s="3"/>
      <c r="C89" s="3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/>
      <c r="AK89"/>
      <c r="AL89"/>
      <c r="AM89"/>
      <c r="AN89"/>
      <c r="AO89"/>
      <c r="AP89"/>
      <c r="AQ89"/>
      <c r="AR89"/>
      <c r="AS89"/>
    </row>
    <row r="90" spans="1:45">
      <c r="A90" s="3"/>
      <c r="B90" s="3"/>
      <c r="C90" s="3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/>
      <c r="AK90"/>
      <c r="AL90"/>
      <c r="AM90"/>
      <c r="AN90"/>
      <c r="AO90"/>
      <c r="AP90"/>
      <c r="AQ90"/>
      <c r="AR90"/>
      <c r="AS90"/>
    </row>
    <row r="91" spans="1:45">
      <c r="A91" s="3"/>
      <c r="B91" s="3"/>
      <c r="C91" s="3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/>
      <c r="AK91"/>
      <c r="AL91"/>
      <c r="AM91"/>
      <c r="AN91"/>
      <c r="AO91"/>
      <c r="AP91"/>
      <c r="AQ91"/>
      <c r="AR91"/>
      <c r="AS91"/>
    </row>
    <row r="92" spans="1:45">
      <c r="A92" s="3"/>
      <c r="B92" s="3"/>
      <c r="C92" s="3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/>
      <c r="AK92"/>
      <c r="AL92"/>
      <c r="AM92"/>
      <c r="AN92"/>
      <c r="AO92"/>
      <c r="AP92"/>
      <c r="AQ92"/>
      <c r="AR92"/>
      <c r="AS92"/>
    </row>
    <row r="93" spans="1:45">
      <c r="A93" s="3"/>
      <c r="B93" s="3"/>
      <c r="C93" s="3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/>
      <c r="AK93"/>
      <c r="AL93"/>
      <c r="AM93"/>
      <c r="AN93"/>
      <c r="AO93"/>
      <c r="AP93"/>
      <c r="AQ93"/>
      <c r="AR93"/>
      <c r="AS93"/>
    </row>
    <row r="94" spans="1:45">
      <c r="A94" s="3"/>
      <c r="B94" s="3"/>
      <c r="C94" s="3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/>
      <c r="AK94"/>
      <c r="AL94"/>
      <c r="AM94"/>
      <c r="AN94"/>
      <c r="AO94"/>
      <c r="AP94"/>
      <c r="AQ94"/>
      <c r="AR94"/>
      <c r="AS94"/>
    </row>
    <row r="95" spans="1:45">
      <c r="A95" s="3"/>
      <c r="B95" s="3"/>
      <c r="C95" s="3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/>
      <c r="AK95"/>
      <c r="AL95"/>
      <c r="AM95"/>
      <c r="AN95"/>
      <c r="AO95"/>
      <c r="AP95"/>
      <c r="AQ95"/>
      <c r="AR95"/>
      <c r="AS95"/>
    </row>
    <row r="96" spans="1:45">
      <c r="A96" s="3"/>
      <c r="B96" s="3"/>
      <c r="C96" s="3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/>
      <c r="AK96"/>
      <c r="AL96"/>
      <c r="AM96"/>
      <c r="AN96"/>
      <c r="AO96"/>
      <c r="AP96"/>
      <c r="AQ96"/>
      <c r="AR96"/>
      <c r="AS96"/>
    </row>
    <row r="97" spans="1:45">
      <c r="A97" s="3"/>
      <c r="B97" s="3"/>
      <c r="C97" s="3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/>
      <c r="AK97"/>
      <c r="AL97"/>
      <c r="AM97"/>
      <c r="AN97"/>
      <c r="AO97"/>
      <c r="AP97"/>
      <c r="AQ97"/>
      <c r="AR97"/>
      <c r="AS97"/>
    </row>
    <row r="98" spans="1:45">
      <c r="A98" s="3"/>
      <c r="B98" s="3"/>
      <c r="C98" s="3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/>
      <c r="AK98"/>
      <c r="AL98"/>
      <c r="AM98"/>
      <c r="AN98"/>
      <c r="AO98"/>
      <c r="AP98"/>
      <c r="AQ98"/>
      <c r="AR98"/>
      <c r="AS98"/>
    </row>
    <row r="99" spans="1:45">
      <c r="A99" s="3"/>
      <c r="B99" s="3"/>
      <c r="C99" s="3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/>
      <c r="AK99"/>
      <c r="AL99"/>
      <c r="AM99"/>
      <c r="AN99"/>
      <c r="AO99"/>
      <c r="AP99"/>
      <c r="AQ99"/>
      <c r="AR99"/>
      <c r="AS99"/>
    </row>
    <row r="100" spans="1:45">
      <c r="A100" s="3"/>
      <c r="B100" s="3"/>
      <c r="C100" s="3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/>
      <c r="AK100"/>
      <c r="AL100"/>
      <c r="AM100"/>
      <c r="AN100"/>
      <c r="AO100"/>
      <c r="AP100"/>
      <c r="AQ100"/>
      <c r="AR100"/>
      <c r="AS100"/>
    </row>
    <row r="101" spans="1:45">
      <c r="A101" s="3"/>
      <c r="B101" s="3"/>
      <c r="C101" s="3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/>
      <c r="AK101"/>
      <c r="AL101"/>
      <c r="AM101"/>
      <c r="AN101"/>
      <c r="AO101"/>
      <c r="AP101"/>
      <c r="AQ101"/>
      <c r="AR101"/>
      <c r="AS101"/>
    </row>
    <row r="102" spans="1:45">
      <c r="A102" s="3"/>
      <c r="B102" s="3"/>
      <c r="C102" s="3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/>
      <c r="AK102"/>
      <c r="AL102"/>
      <c r="AM102"/>
      <c r="AN102"/>
      <c r="AO102"/>
      <c r="AP102"/>
      <c r="AQ102"/>
      <c r="AR102"/>
      <c r="AS102"/>
    </row>
    <row r="103" spans="1:45">
      <c r="A103" s="3"/>
      <c r="B103" s="3"/>
      <c r="C103" s="3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/>
      <c r="AK103"/>
      <c r="AL103"/>
      <c r="AM103"/>
      <c r="AN103"/>
      <c r="AO103"/>
      <c r="AP103"/>
      <c r="AQ103"/>
      <c r="AR103"/>
      <c r="AS103"/>
    </row>
    <row r="104" spans="1:45">
      <c r="A104" s="3"/>
      <c r="B104" s="3"/>
      <c r="C104" s="3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/>
      <c r="AK104"/>
      <c r="AL104"/>
      <c r="AM104"/>
      <c r="AN104"/>
      <c r="AO104"/>
      <c r="AP104"/>
      <c r="AQ104"/>
      <c r="AR104"/>
      <c r="AS104"/>
    </row>
    <row r="105" spans="1:45">
      <c r="A105" s="3"/>
      <c r="B105" s="3"/>
      <c r="C105" s="3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/>
      <c r="AK105"/>
      <c r="AL105"/>
      <c r="AM105"/>
      <c r="AN105"/>
      <c r="AO105"/>
      <c r="AP105"/>
      <c r="AQ105"/>
      <c r="AR105"/>
      <c r="AS105"/>
    </row>
    <row r="106" spans="1:45">
      <c r="A106" s="3"/>
      <c r="B106" s="3"/>
      <c r="C106" s="3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/>
      <c r="AK106"/>
      <c r="AL106"/>
      <c r="AM106"/>
      <c r="AN106"/>
      <c r="AO106"/>
      <c r="AP106"/>
      <c r="AQ106"/>
      <c r="AR106"/>
      <c r="AS106"/>
    </row>
    <row r="107" spans="1:45">
      <c r="A107" s="3"/>
      <c r="B107" s="3"/>
      <c r="C107" s="3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/>
      <c r="AK107"/>
      <c r="AL107"/>
      <c r="AM107"/>
      <c r="AN107"/>
      <c r="AO107"/>
      <c r="AP107"/>
      <c r="AQ107"/>
      <c r="AR107"/>
      <c r="AS107"/>
    </row>
    <row r="108" spans="1:45">
      <c r="A108" s="3"/>
      <c r="B108" s="3"/>
      <c r="C108" s="3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/>
      <c r="AK108"/>
      <c r="AL108"/>
      <c r="AM108"/>
      <c r="AN108"/>
      <c r="AO108"/>
      <c r="AP108"/>
      <c r="AQ108"/>
      <c r="AR108"/>
      <c r="AS108"/>
    </row>
    <row r="109" spans="1:45">
      <c r="A109" s="3"/>
      <c r="B109" s="3"/>
      <c r="C109" s="3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/>
      <c r="AK109"/>
      <c r="AL109"/>
      <c r="AM109"/>
      <c r="AN109"/>
      <c r="AO109"/>
      <c r="AP109"/>
      <c r="AQ109"/>
      <c r="AR109"/>
      <c r="AS109"/>
    </row>
    <row r="110" spans="1:45">
      <c r="A110" s="3"/>
      <c r="B110" s="3"/>
      <c r="C110" s="3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/>
      <c r="AK110"/>
      <c r="AL110"/>
      <c r="AM110"/>
      <c r="AN110"/>
      <c r="AO110"/>
      <c r="AP110"/>
      <c r="AQ110"/>
      <c r="AR110"/>
      <c r="AS110"/>
    </row>
    <row r="111" spans="1:45">
      <c r="A111" s="3"/>
      <c r="B111" s="3"/>
      <c r="C111" s="3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/>
      <c r="AK111"/>
      <c r="AL111"/>
      <c r="AM111"/>
      <c r="AN111"/>
      <c r="AO111"/>
      <c r="AP111"/>
      <c r="AQ111"/>
      <c r="AR111"/>
      <c r="AS111"/>
    </row>
    <row r="112" spans="1:45">
      <c r="A112" s="3"/>
      <c r="B112" s="3"/>
      <c r="C112" s="3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/>
      <c r="AK112"/>
      <c r="AL112"/>
      <c r="AM112"/>
      <c r="AN112"/>
      <c r="AO112"/>
      <c r="AP112"/>
      <c r="AQ112"/>
      <c r="AR112"/>
      <c r="AS112"/>
    </row>
    <row r="113" spans="1:45">
      <c r="A113" s="3"/>
      <c r="B113" s="3"/>
      <c r="C113" s="3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/>
      <c r="AK113"/>
      <c r="AL113"/>
      <c r="AM113"/>
      <c r="AN113"/>
      <c r="AO113"/>
      <c r="AP113"/>
      <c r="AQ113"/>
      <c r="AR113"/>
      <c r="AS113"/>
    </row>
    <row r="114" spans="1:45">
      <c r="A114" s="3"/>
      <c r="B114" s="3"/>
      <c r="C114" s="3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/>
      <c r="AK114"/>
      <c r="AL114"/>
      <c r="AM114"/>
      <c r="AN114"/>
      <c r="AO114"/>
      <c r="AP114"/>
      <c r="AQ114"/>
      <c r="AR114"/>
      <c r="AS114"/>
    </row>
    <row r="115" spans="1:45">
      <c r="A115" s="3"/>
      <c r="B115" s="3"/>
      <c r="C115" s="3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/>
      <c r="AK115"/>
      <c r="AL115"/>
      <c r="AM115"/>
      <c r="AN115"/>
      <c r="AO115"/>
      <c r="AP115"/>
      <c r="AQ115"/>
      <c r="AR115"/>
      <c r="AS115"/>
    </row>
    <row r="116" spans="1:45">
      <c r="A116" s="3"/>
      <c r="B116" s="3"/>
      <c r="C116" s="3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/>
      <c r="AK116"/>
      <c r="AL116"/>
      <c r="AM116"/>
      <c r="AN116"/>
      <c r="AO116"/>
      <c r="AP116"/>
      <c r="AQ116"/>
      <c r="AR116"/>
      <c r="AS116"/>
    </row>
    <row r="117" spans="1:45">
      <c r="A117" s="3"/>
      <c r="B117" s="3"/>
      <c r="C117" s="3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/>
      <c r="AK117"/>
      <c r="AL117"/>
      <c r="AM117"/>
      <c r="AN117"/>
      <c r="AO117"/>
      <c r="AP117"/>
      <c r="AQ117"/>
      <c r="AR117"/>
      <c r="AS117"/>
    </row>
    <row r="118" spans="1:45">
      <c r="A118" s="3"/>
      <c r="B118" s="3"/>
      <c r="C118" s="3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/>
      <c r="AK118"/>
      <c r="AL118"/>
      <c r="AM118"/>
      <c r="AN118"/>
      <c r="AO118"/>
      <c r="AP118"/>
      <c r="AQ118"/>
      <c r="AR118"/>
      <c r="AS118"/>
    </row>
    <row r="119" spans="1:45">
      <c r="A119" s="3"/>
      <c r="B119" s="3"/>
      <c r="C119" s="3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/>
      <c r="AK119"/>
      <c r="AL119"/>
      <c r="AM119"/>
      <c r="AN119"/>
      <c r="AO119"/>
      <c r="AP119"/>
      <c r="AQ119"/>
      <c r="AR119"/>
      <c r="AS119"/>
    </row>
    <row r="120" spans="1:45">
      <c r="A120" s="3"/>
      <c r="B120" s="3"/>
      <c r="C120" s="3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/>
      <c r="AK120"/>
      <c r="AL120"/>
      <c r="AM120"/>
      <c r="AN120"/>
      <c r="AO120"/>
      <c r="AP120"/>
      <c r="AQ120"/>
      <c r="AR120"/>
      <c r="AS120"/>
    </row>
    <row r="121" spans="1:45">
      <c r="A121" s="3"/>
      <c r="B121" s="3"/>
      <c r="C121" s="3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/>
      <c r="AK121"/>
      <c r="AL121"/>
      <c r="AM121"/>
      <c r="AN121"/>
      <c r="AO121"/>
      <c r="AP121"/>
      <c r="AQ121"/>
      <c r="AR121"/>
      <c r="AS121"/>
    </row>
    <row r="122" spans="1:45">
      <c r="A122" s="3"/>
      <c r="B122" s="3"/>
      <c r="C122" s="3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/>
      <c r="AK122"/>
      <c r="AL122"/>
      <c r="AM122"/>
      <c r="AN122"/>
      <c r="AO122"/>
      <c r="AP122"/>
      <c r="AQ122"/>
      <c r="AR122"/>
      <c r="AS122"/>
    </row>
    <row r="123" spans="1:45">
      <c r="A123" s="3"/>
      <c r="B123" s="3"/>
      <c r="C123" s="3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/>
      <c r="AK123"/>
      <c r="AL123"/>
      <c r="AM123"/>
      <c r="AN123"/>
      <c r="AO123"/>
      <c r="AP123"/>
      <c r="AQ123"/>
      <c r="AR123"/>
      <c r="AS123"/>
    </row>
    <row r="124" spans="1:45">
      <c r="A124" s="3"/>
      <c r="B124" s="3"/>
      <c r="C124" s="3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/>
      <c r="AK124"/>
      <c r="AL124"/>
      <c r="AM124"/>
      <c r="AN124"/>
      <c r="AO124"/>
      <c r="AP124"/>
      <c r="AQ124"/>
      <c r="AR124"/>
      <c r="AS124"/>
    </row>
    <row r="125" spans="1:45">
      <c r="A125" s="3"/>
      <c r="B125" s="3"/>
      <c r="C125" s="3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/>
      <c r="AK125"/>
      <c r="AL125"/>
      <c r="AM125"/>
      <c r="AN125"/>
      <c r="AO125"/>
      <c r="AP125"/>
      <c r="AQ125"/>
      <c r="AR125"/>
      <c r="AS125"/>
    </row>
    <row r="126" spans="1:45">
      <c r="A126" s="3"/>
      <c r="B126" s="3"/>
      <c r="C126" s="3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/>
      <c r="AK126"/>
      <c r="AL126"/>
      <c r="AM126"/>
      <c r="AN126"/>
      <c r="AO126"/>
      <c r="AP126"/>
      <c r="AQ126"/>
      <c r="AR126"/>
      <c r="AS126"/>
    </row>
    <row r="127" spans="1:45">
      <c r="A127" s="3"/>
      <c r="B127" s="3"/>
      <c r="C127" s="3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/>
      <c r="AK127"/>
      <c r="AL127"/>
      <c r="AM127"/>
      <c r="AN127"/>
      <c r="AO127"/>
      <c r="AP127"/>
      <c r="AQ127"/>
      <c r="AR127"/>
      <c r="AS127"/>
    </row>
    <row r="128" spans="1:45">
      <c r="A128" s="3"/>
      <c r="B128" s="3"/>
      <c r="C128" s="3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/>
      <c r="AK128"/>
      <c r="AL128"/>
      <c r="AM128"/>
      <c r="AN128"/>
      <c r="AO128"/>
      <c r="AP128"/>
      <c r="AQ128"/>
      <c r="AR128"/>
      <c r="AS128"/>
    </row>
    <row r="129" spans="1:45">
      <c r="A129" s="3"/>
      <c r="B129" s="3"/>
      <c r="C129" s="3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/>
      <c r="AK129"/>
      <c r="AL129"/>
      <c r="AM129"/>
      <c r="AN129"/>
      <c r="AO129"/>
      <c r="AP129"/>
      <c r="AQ129"/>
      <c r="AR129"/>
      <c r="AS129"/>
    </row>
    <row r="130" spans="1:45">
      <c r="A130" s="3"/>
      <c r="B130" s="3"/>
      <c r="C130" s="3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/>
      <c r="AK130"/>
      <c r="AL130"/>
      <c r="AM130"/>
      <c r="AN130"/>
      <c r="AO130"/>
      <c r="AP130"/>
      <c r="AQ130"/>
      <c r="AR130"/>
      <c r="AS130"/>
    </row>
    <row r="131" spans="1:45">
      <c r="A131" s="3"/>
      <c r="B131" s="3"/>
      <c r="C131" s="3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/>
      <c r="AK131"/>
      <c r="AL131"/>
      <c r="AM131"/>
      <c r="AN131"/>
      <c r="AO131"/>
      <c r="AP131"/>
      <c r="AQ131"/>
      <c r="AR131"/>
      <c r="AS131"/>
    </row>
    <row r="132" spans="1:45">
      <c r="A132" s="3"/>
      <c r="B132" s="3"/>
      <c r="C132" s="3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/>
      <c r="AK132"/>
      <c r="AL132"/>
      <c r="AM132"/>
      <c r="AN132"/>
      <c r="AO132"/>
      <c r="AP132"/>
      <c r="AQ132"/>
      <c r="AR132"/>
      <c r="AS132"/>
    </row>
    <row r="133" spans="1:45">
      <c r="A133" s="3"/>
      <c r="B133" s="3"/>
      <c r="C133" s="3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/>
      <c r="AK133"/>
      <c r="AL133"/>
      <c r="AM133"/>
      <c r="AN133"/>
      <c r="AO133"/>
      <c r="AP133"/>
      <c r="AQ133"/>
      <c r="AR133"/>
      <c r="AS133"/>
    </row>
    <row r="134" spans="1:45">
      <c r="A134" s="3"/>
      <c r="B134" s="3"/>
      <c r="C134" s="3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/>
      <c r="AK134"/>
      <c r="AL134"/>
      <c r="AM134"/>
      <c r="AN134"/>
      <c r="AO134"/>
      <c r="AP134"/>
      <c r="AQ134"/>
      <c r="AR134"/>
      <c r="AS134"/>
    </row>
    <row r="135" spans="1:45">
      <c r="A135" s="3"/>
      <c r="B135" s="3"/>
      <c r="C135" s="3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/>
      <c r="AK135"/>
      <c r="AL135"/>
      <c r="AM135"/>
      <c r="AN135"/>
      <c r="AO135"/>
      <c r="AP135"/>
      <c r="AQ135"/>
      <c r="AR135"/>
      <c r="AS135"/>
    </row>
    <row r="136" spans="1:45">
      <c r="A136" s="3"/>
      <c r="B136" s="3"/>
      <c r="C136" s="3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/>
      <c r="AK136"/>
      <c r="AL136"/>
      <c r="AM136"/>
      <c r="AN136"/>
      <c r="AO136"/>
      <c r="AP136"/>
      <c r="AQ136"/>
      <c r="AR136"/>
      <c r="AS136"/>
    </row>
    <row r="137" spans="1:45">
      <c r="A137" s="3"/>
      <c r="B137" s="3"/>
      <c r="C137" s="3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/>
      <c r="AK137"/>
      <c r="AL137"/>
      <c r="AM137"/>
      <c r="AN137"/>
      <c r="AO137"/>
      <c r="AP137"/>
      <c r="AQ137"/>
      <c r="AR137"/>
      <c r="AS137"/>
    </row>
    <row r="138" spans="1:45">
      <c r="A138" s="3"/>
      <c r="B138" s="3"/>
      <c r="C138" s="3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/>
      <c r="AK138"/>
      <c r="AL138"/>
      <c r="AM138"/>
      <c r="AN138"/>
      <c r="AO138"/>
      <c r="AP138"/>
      <c r="AQ138"/>
      <c r="AR138"/>
      <c r="AS138"/>
    </row>
    <row r="139" spans="1:45">
      <c r="A139" s="3"/>
      <c r="B139" s="3"/>
      <c r="C139" s="3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/>
      <c r="AK139"/>
      <c r="AL139"/>
      <c r="AM139"/>
      <c r="AN139"/>
      <c r="AO139"/>
      <c r="AP139"/>
      <c r="AQ139"/>
      <c r="AR139"/>
      <c r="AS139"/>
    </row>
    <row r="140" spans="1:45">
      <c r="A140" s="3"/>
      <c r="B140" s="3"/>
      <c r="C140" s="3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/>
      <c r="AK140"/>
      <c r="AL140"/>
      <c r="AM140"/>
      <c r="AN140"/>
      <c r="AO140"/>
      <c r="AP140"/>
      <c r="AQ140"/>
      <c r="AR140"/>
      <c r="AS140"/>
    </row>
    <row r="141" spans="1:45">
      <c r="A141" s="3"/>
      <c r="B141" s="3"/>
      <c r="C141" s="3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/>
      <c r="AK141"/>
      <c r="AL141"/>
      <c r="AM141"/>
      <c r="AN141"/>
      <c r="AO141"/>
      <c r="AP141"/>
      <c r="AQ141"/>
      <c r="AR141"/>
      <c r="AS141"/>
    </row>
    <row r="142" spans="1:45">
      <c r="A142" s="3"/>
      <c r="B142" s="3"/>
      <c r="C142" s="3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/>
      <c r="AK142"/>
      <c r="AL142"/>
      <c r="AM142"/>
      <c r="AN142"/>
      <c r="AO142"/>
      <c r="AP142"/>
      <c r="AQ142"/>
      <c r="AR142"/>
      <c r="AS142"/>
    </row>
    <row r="143" spans="1:45">
      <c r="A143" s="3"/>
      <c r="B143" s="3"/>
      <c r="C143" s="3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/>
      <c r="AK143"/>
      <c r="AL143"/>
      <c r="AM143"/>
      <c r="AN143"/>
      <c r="AO143"/>
      <c r="AP143"/>
      <c r="AQ143"/>
      <c r="AR143"/>
      <c r="AS143"/>
    </row>
    <row r="144" spans="1:45">
      <c r="A144" s="3"/>
      <c r="B144" s="3"/>
      <c r="C144" s="3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/>
      <c r="AK144"/>
      <c r="AL144"/>
      <c r="AM144"/>
      <c r="AN144"/>
      <c r="AO144"/>
      <c r="AP144"/>
      <c r="AQ144"/>
      <c r="AR144"/>
      <c r="AS144"/>
    </row>
    <row r="145" spans="1:45">
      <c r="A145" s="3"/>
      <c r="B145" s="3"/>
      <c r="C145" s="3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/>
      <c r="AK145"/>
      <c r="AL145"/>
      <c r="AM145"/>
      <c r="AN145"/>
      <c r="AO145"/>
      <c r="AP145"/>
      <c r="AQ145"/>
      <c r="AR145"/>
      <c r="AS145"/>
    </row>
    <row r="146" spans="1:45">
      <c r="A146" s="3"/>
      <c r="B146" s="3"/>
      <c r="C146" s="3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/>
      <c r="AK146"/>
      <c r="AL146"/>
      <c r="AM146"/>
      <c r="AN146"/>
      <c r="AO146"/>
      <c r="AP146"/>
      <c r="AQ146"/>
      <c r="AR146"/>
      <c r="AS146"/>
    </row>
    <row r="147" spans="1:45">
      <c r="A147" s="3"/>
      <c r="B147" s="3"/>
      <c r="C147" s="3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/>
      <c r="AK147"/>
      <c r="AL147"/>
      <c r="AM147"/>
      <c r="AN147"/>
      <c r="AO147"/>
      <c r="AP147"/>
      <c r="AQ147"/>
      <c r="AR147"/>
      <c r="AS147"/>
    </row>
    <row r="148" spans="1:45">
      <c r="A148" s="3"/>
      <c r="B148" s="3"/>
      <c r="C148" s="3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/>
      <c r="AK148"/>
      <c r="AL148"/>
      <c r="AM148"/>
      <c r="AN148"/>
      <c r="AO148"/>
      <c r="AP148"/>
      <c r="AQ148"/>
      <c r="AR148"/>
      <c r="AS148"/>
    </row>
    <row r="149" spans="1:45">
      <c r="A149" s="3"/>
      <c r="B149" s="3"/>
      <c r="C149" s="3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/>
      <c r="AK149"/>
      <c r="AL149"/>
      <c r="AM149"/>
      <c r="AN149"/>
      <c r="AO149"/>
      <c r="AP149"/>
      <c r="AQ149"/>
      <c r="AR149"/>
      <c r="AS149"/>
    </row>
    <row r="150" spans="1:45">
      <c r="A150" s="3"/>
      <c r="B150" s="3"/>
      <c r="C150" s="3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/>
      <c r="AK150"/>
      <c r="AL150"/>
      <c r="AM150"/>
      <c r="AN150"/>
      <c r="AO150"/>
      <c r="AP150"/>
      <c r="AQ150"/>
      <c r="AR150"/>
      <c r="AS150"/>
    </row>
    <row r="151" spans="1:45">
      <c r="A151" s="3"/>
      <c r="B151" s="3"/>
      <c r="C151" s="3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/>
      <c r="AK151"/>
      <c r="AL151"/>
      <c r="AM151"/>
      <c r="AN151"/>
      <c r="AO151"/>
      <c r="AP151"/>
      <c r="AQ151"/>
      <c r="AR151"/>
      <c r="AS151"/>
    </row>
    <row r="152" spans="1:45">
      <c r="A152" s="3"/>
      <c r="B152" s="3"/>
      <c r="C152" s="3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/>
      <c r="AK152"/>
      <c r="AL152"/>
      <c r="AM152"/>
      <c r="AN152"/>
      <c r="AO152"/>
      <c r="AP152"/>
      <c r="AQ152"/>
      <c r="AR152"/>
      <c r="AS152"/>
    </row>
    <row r="153" spans="1:45">
      <c r="A153" s="3"/>
      <c r="B153" s="3"/>
      <c r="C153" s="3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/>
      <c r="AK153"/>
      <c r="AL153"/>
      <c r="AM153"/>
      <c r="AN153"/>
      <c r="AO153"/>
      <c r="AP153"/>
      <c r="AQ153"/>
      <c r="AR153"/>
      <c r="AS153"/>
    </row>
    <row r="154" spans="1:45">
      <c r="A154" s="3"/>
      <c r="B154" s="3"/>
      <c r="C154" s="3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/>
      <c r="AK154"/>
      <c r="AL154"/>
      <c r="AM154"/>
      <c r="AN154"/>
      <c r="AO154"/>
      <c r="AP154"/>
      <c r="AQ154"/>
      <c r="AR154"/>
      <c r="AS154"/>
    </row>
    <row r="155" spans="1:45">
      <c r="A155" s="3"/>
      <c r="B155" s="3"/>
      <c r="C155" s="3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/>
      <c r="AK155"/>
      <c r="AL155"/>
      <c r="AM155"/>
      <c r="AN155"/>
      <c r="AO155"/>
      <c r="AP155"/>
      <c r="AQ155"/>
      <c r="AR155"/>
      <c r="AS155"/>
    </row>
    <row r="156" spans="1:45">
      <c r="A156" s="3"/>
      <c r="B156" s="3"/>
      <c r="C156" s="3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/>
      <c r="AK156"/>
      <c r="AL156"/>
      <c r="AM156"/>
      <c r="AN156"/>
      <c r="AO156"/>
      <c r="AP156"/>
      <c r="AQ156"/>
      <c r="AR156"/>
      <c r="AS156"/>
    </row>
    <row r="157" spans="1:45">
      <c r="A157" s="3"/>
      <c r="B157" s="3"/>
      <c r="C157" s="3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/>
      <c r="AK157"/>
      <c r="AL157"/>
      <c r="AM157"/>
      <c r="AN157"/>
      <c r="AO157"/>
      <c r="AP157"/>
      <c r="AQ157"/>
      <c r="AR157"/>
      <c r="AS157"/>
    </row>
    <row r="158" spans="1:45">
      <c r="A158" s="3"/>
      <c r="B158" s="3"/>
      <c r="C158" s="3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/>
      <c r="AK158"/>
      <c r="AL158"/>
      <c r="AM158"/>
      <c r="AN158"/>
      <c r="AO158"/>
      <c r="AP158"/>
      <c r="AQ158"/>
      <c r="AR158"/>
      <c r="AS158"/>
    </row>
    <row r="159" spans="1:45">
      <c r="A159" s="3"/>
      <c r="B159" s="3"/>
      <c r="C159" s="3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/>
      <c r="AK159"/>
      <c r="AL159"/>
      <c r="AM159"/>
      <c r="AN159"/>
      <c r="AO159"/>
      <c r="AP159"/>
      <c r="AQ159"/>
      <c r="AR159"/>
      <c r="AS159"/>
    </row>
    <row r="160" spans="1:45">
      <c r="A160" s="3"/>
      <c r="B160" s="3"/>
      <c r="C160" s="3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/>
      <c r="AK160"/>
      <c r="AL160"/>
      <c r="AM160"/>
      <c r="AN160"/>
      <c r="AO160"/>
      <c r="AP160"/>
      <c r="AQ160"/>
      <c r="AR160"/>
      <c r="AS160"/>
    </row>
    <row r="161" spans="1:45">
      <c r="A161" s="3"/>
      <c r="B161" s="3"/>
      <c r="C161" s="3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/>
      <c r="AK161"/>
      <c r="AL161"/>
      <c r="AM161"/>
      <c r="AN161"/>
      <c r="AO161"/>
      <c r="AP161"/>
      <c r="AQ161"/>
      <c r="AR161"/>
      <c r="AS161"/>
    </row>
    <row r="162" spans="1:45">
      <c r="A162" s="3"/>
      <c r="B162" s="3"/>
      <c r="C162" s="3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/>
      <c r="AK162"/>
      <c r="AL162"/>
      <c r="AM162"/>
      <c r="AN162"/>
      <c r="AO162"/>
      <c r="AP162"/>
      <c r="AQ162"/>
      <c r="AR162"/>
      <c r="AS162"/>
    </row>
    <row r="163" spans="1:45">
      <c r="A163" s="3"/>
      <c r="B163" s="3"/>
      <c r="C163" s="3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/>
      <c r="AK163"/>
      <c r="AL163"/>
      <c r="AM163"/>
      <c r="AN163"/>
      <c r="AO163"/>
      <c r="AP163"/>
      <c r="AQ163"/>
      <c r="AR163"/>
      <c r="AS163"/>
    </row>
    <row r="164" spans="1:45">
      <c r="A164" s="3"/>
      <c r="B164" s="3"/>
      <c r="C164" s="3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/>
      <c r="AK164"/>
      <c r="AL164"/>
      <c r="AM164"/>
      <c r="AN164"/>
      <c r="AO164"/>
      <c r="AP164"/>
      <c r="AQ164"/>
      <c r="AR164"/>
      <c r="AS164"/>
    </row>
    <row r="165" spans="1:45">
      <c r="A165" s="3"/>
      <c r="B165" s="3"/>
      <c r="C165" s="3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/>
      <c r="AK165"/>
      <c r="AL165"/>
      <c r="AM165"/>
      <c r="AN165"/>
      <c r="AO165"/>
      <c r="AP165"/>
      <c r="AQ165"/>
      <c r="AR165"/>
      <c r="AS165"/>
    </row>
    <row r="166" spans="1:45">
      <c r="A166" s="3"/>
      <c r="B166" s="3"/>
      <c r="C166" s="3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/>
      <c r="AK166"/>
      <c r="AL166"/>
      <c r="AM166"/>
      <c r="AN166"/>
      <c r="AO166"/>
      <c r="AP166"/>
      <c r="AQ166"/>
      <c r="AR166"/>
      <c r="AS166"/>
    </row>
    <row r="167" spans="1:45">
      <c r="A167" s="3"/>
      <c r="B167" s="3"/>
      <c r="C167" s="3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/>
      <c r="AK167"/>
      <c r="AL167"/>
      <c r="AM167"/>
      <c r="AN167"/>
      <c r="AO167"/>
      <c r="AP167"/>
      <c r="AQ167"/>
      <c r="AR167"/>
      <c r="AS167"/>
    </row>
    <row r="168" spans="1:45">
      <c r="A168" s="3"/>
      <c r="B168" s="3"/>
      <c r="C168" s="3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/>
      <c r="AK168"/>
      <c r="AL168"/>
      <c r="AM168"/>
      <c r="AN168"/>
      <c r="AO168"/>
      <c r="AP168"/>
      <c r="AQ168"/>
      <c r="AR168"/>
      <c r="AS168"/>
    </row>
    <row r="169" spans="1:45">
      <c r="A169" s="3"/>
      <c r="B169" s="3"/>
      <c r="C169" s="3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/>
      <c r="AK169"/>
      <c r="AL169"/>
      <c r="AM169"/>
      <c r="AN169"/>
      <c r="AO169"/>
      <c r="AP169"/>
      <c r="AQ169"/>
      <c r="AR169"/>
      <c r="AS169"/>
    </row>
    <row r="170" spans="1:45">
      <c r="A170" s="3"/>
      <c r="B170" s="3"/>
      <c r="C170" s="3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/>
      <c r="AK170"/>
      <c r="AL170"/>
      <c r="AM170"/>
      <c r="AN170"/>
      <c r="AO170"/>
      <c r="AP170"/>
      <c r="AQ170"/>
      <c r="AR170"/>
      <c r="AS170"/>
    </row>
    <row r="171" spans="1:45">
      <c r="A171" s="3"/>
      <c r="B171" s="3"/>
      <c r="C171" s="3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/>
      <c r="AK171"/>
      <c r="AL171"/>
      <c r="AM171"/>
      <c r="AN171"/>
      <c r="AO171"/>
      <c r="AP171"/>
      <c r="AQ171"/>
      <c r="AR171"/>
      <c r="AS171"/>
    </row>
    <row r="172" spans="1:45">
      <c r="A172" s="3"/>
      <c r="B172" s="3"/>
      <c r="C172" s="3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/>
      <c r="AK172"/>
      <c r="AL172"/>
      <c r="AM172"/>
      <c r="AN172"/>
      <c r="AO172"/>
      <c r="AP172"/>
      <c r="AQ172"/>
      <c r="AR172"/>
      <c r="AS172"/>
    </row>
    <row r="173" spans="1:45">
      <c r="A173" s="3"/>
      <c r="B173" s="3"/>
      <c r="C173" s="3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/>
      <c r="AK173"/>
      <c r="AL173"/>
      <c r="AM173"/>
      <c r="AN173"/>
      <c r="AO173"/>
      <c r="AP173"/>
      <c r="AQ173"/>
      <c r="AR173"/>
      <c r="AS173"/>
    </row>
    <row r="174" spans="1:45">
      <c r="A174" s="3"/>
      <c r="B174" s="3"/>
      <c r="C174" s="3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/>
      <c r="AK174"/>
      <c r="AL174"/>
      <c r="AM174"/>
      <c r="AN174"/>
      <c r="AO174"/>
      <c r="AP174"/>
      <c r="AQ174"/>
      <c r="AR174"/>
      <c r="AS174"/>
    </row>
    <row r="175" spans="1:45">
      <c r="A175" s="3"/>
      <c r="B175" s="3"/>
      <c r="C175" s="3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/>
      <c r="AK175"/>
      <c r="AL175"/>
      <c r="AM175"/>
      <c r="AN175"/>
      <c r="AO175"/>
      <c r="AP175"/>
      <c r="AQ175"/>
      <c r="AR175"/>
      <c r="AS175"/>
    </row>
    <row r="176" spans="1:45">
      <c r="A176" s="3"/>
      <c r="B176" s="3"/>
      <c r="C176" s="3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/>
      <c r="AK176"/>
      <c r="AL176"/>
      <c r="AM176"/>
      <c r="AN176"/>
      <c r="AO176"/>
      <c r="AP176"/>
      <c r="AQ176"/>
      <c r="AR176"/>
      <c r="AS176"/>
    </row>
    <row r="177" spans="1:45">
      <c r="A177" s="3"/>
      <c r="B177" s="3"/>
      <c r="C177" s="3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/>
      <c r="AK177"/>
      <c r="AL177"/>
      <c r="AM177"/>
      <c r="AN177"/>
      <c r="AO177"/>
      <c r="AP177"/>
      <c r="AQ177"/>
      <c r="AR177"/>
      <c r="AS177"/>
    </row>
    <row r="178" spans="1:45">
      <c r="A178" s="3"/>
      <c r="B178" s="3"/>
      <c r="C178" s="3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/>
      <c r="AK178"/>
      <c r="AL178"/>
      <c r="AM178"/>
      <c r="AN178"/>
      <c r="AO178"/>
      <c r="AP178"/>
      <c r="AQ178"/>
      <c r="AR178"/>
      <c r="AS178"/>
    </row>
    <row r="179" spans="1:45">
      <c r="A179" s="3"/>
      <c r="B179" s="3"/>
      <c r="C179" s="3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/>
      <c r="AK179"/>
      <c r="AL179"/>
      <c r="AM179"/>
      <c r="AN179"/>
      <c r="AO179"/>
      <c r="AP179"/>
      <c r="AQ179"/>
      <c r="AR179"/>
      <c r="AS179"/>
    </row>
    <row r="180" spans="1:45">
      <c r="A180" s="3"/>
      <c r="B180" s="3"/>
      <c r="C180" s="3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/>
      <c r="AK180"/>
      <c r="AL180"/>
      <c r="AM180"/>
      <c r="AN180"/>
      <c r="AO180"/>
      <c r="AP180"/>
      <c r="AQ180"/>
      <c r="AR180"/>
      <c r="AS180"/>
    </row>
    <row r="181" spans="1:45">
      <c r="A181" s="3"/>
      <c r="B181" s="3"/>
      <c r="C181" s="3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/>
      <c r="AK181"/>
      <c r="AL181"/>
      <c r="AM181"/>
      <c r="AN181"/>
      <c r="AO181"/>
      <c r="AP181"/>
      <c r="AQ181"/>
      <c r="AR181"/>
      <c r="AS181"/>
    </row>
    <row r="182" spans="1:45">
      <c r="A182" s="3"/>
      <c r="B182" s="3"/>
      <c r="C182" s="3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/>
      <c r="AK182"/>
      <c r="AL182"/>
      <c r="AM182"/>
      <c r="AN182"/>
      <c r="AO182"/>
      <c r="AP182"/>
      <c r="AQ182"/>
      <c r="AR182"/>
      <c r="AS182"/>
    </row>
    <row r="183" spans="1:45">
      <c r="A183" s="3"/>
      <c r="B183" s="3"/>
      <c r="C183" s="3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/>
      <c r="AK183"/>
      <c r="AL183"/>
      <c r="AM183"/>
      <c r="AN183"/>
      <c r="AO183"/>
      <c r="AP183"/>
      <c r="AQ183"/>
      <c r="AR183"/>
      <c r="AS183"/>
    </row>
    <row r="184" spans="1:45">
      <c r="A184" s="3"/>
      <c r="B184" s="3"/>
      <c r="C184" s="3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/>
      <c r="AK184"/>
      <c r="AL184"/>
      <c r="AM184"/>
      <c r="AN184"/>
      <c r="AO184"/>
      <c r="AP184"/>
      <c r="AQ184"/>
      <c r="AR184"/>
      <c r="AS184"/>
    </row>
    <row r="185" spans="1:45">
      <c r="A185" s="3"/>
      <c r="B185" s="3"/>
      <c r="C185" s="3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/>
      <c r="AK185"/>
      <c r="AL185"/>
      <c r="AM185"/>
      <c r="AN185"/>
      <c r="AO185"/>
      <c r="AP185"/>
      <c r="AQ185"/>
      <c r="AR185"/>
      <c r="AS185"/>
    </row>
    <row r="186" spans="1:45">
      <c r="A186" s="3"/>
      <c r="B186" s="3"/>
      <c r="C186" s="3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/>
      <c r="AK186"/>
      <c r="AL186"/>
      <c r="AM186"/>
      <c r="AN186"/>
      <c r="AO186"/>
      <c r="AP186"/>
      <c r="AQ186"/>
      <c r="AR186"/>
      <c r="AS186"/>
    </row>
    <row r="187" spans="1:45">
      <c r="A187" s="3"/>
      <c r="B187" s="3"/>
      <c r="C187" s="3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/>
      <c r="AK187"/>
      <c r="AL187"/>
      <c r="AM187"/>
      <c r="AN187"/>
      <c r="AO187"/>
      <c r="AP187"/>
      <c r="AQ187"/>
      <c r="AR187"/>
      <c r="AS187"/>
    </row>
    <row r="188" spans="1:45">
      <c r="A188" s="3"/>
      <c r="B188" s="3"/>
      <c r="C188" s="3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/>
      <c r="AK188"/>
      <c r="AL188"/>
      <c r="AM188"/>
      <c r="AN188"/>
      <c r="AO188"/>
      <c r="AP188"/>
      <c r="AQ188"/>
      <c r="AR188"/>
      <c r="AS188"/>
    </row>
    <row r="189" spans="1:45">
      <c r="A189" s="3"/>
      <c r="B189" s="3"/>
      <c r="C189" s="3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/>
      <c r="AK189"/>
      <c r="AL189"/>
      <c r="AM189"/>
      <c r="AN189"/>
      <c r="AO189"/>
      <c r="AP189"/>
      <c r="AQ189"/>
      <c r="AR189"/>
      <c r="AS189"/>
    </row>
    <row r="190" spans="1:45">
      <c r="A190" s="3"/>
      <c r="B190" s="3"/>
      <c r="C190" s="3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/>
      <c r="AK190"/>
      <c r="AL190"/>
      <c r="AM190"/>
      <c r="AN190"/>
      <c r="AO190"/>
      <c r="AP190"/>
      <c r="AQ190"/>
      <c r="AR190"/>
      <c r="AS190"/>
    </row>
    <row r="191" spans="1:45">
      <c r="A191" s="3"/>
      <c r="B191" s="3"/>
      <c r="C191" s="3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/>
      <c r="AK191"/>
      <c r="AL191"/>
      <c r="AM191"/>
      <c r="AN191"/>
      <c r="AO191"/>
      <c r="AP191"/>
      <c r="AQ191"/>
      <c r="AR191"/>
      <c r="AS191"/>
    </row>
    <row r="192" spans="1:45">
      <c r="A192" s="3"/>
      <c r="B192" s="3"/>
      <c r="C192" s="3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/>
      <c r="AK192"/>
      <c r="AL192"/>
      <c r="AM192"/>
      <c r="AN192"/>
      <c r="AO192"/>
      <c r="AP192"/>
      <c r="AQ192"/>
      <c r="AR192"/>
      <c r="AS192"/>
    </row>
    <row r="193" spans="1:45">
      <c r="A193" s="3"/>
      <c r="B193" s="3"/>
      <c r="C193" s="3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/>
      <c r="AK193"/>
      <c r="AL193"/>
      <c r="AM193"/>
      <c r="AN193"/>
      <c r="AO193"/>
      <c r="AP193"/>
      <c r="AQ193"/>
      <c r="AR193"/>
      <c r="AS193"/>
    </row>
    <row r="194" spans="1:45">
      <c r="A194" s="3"/>
      <c r="B194" s="3"/>
      <c r="C194" s="3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/>
      <c r="AK194"/>
      <c r="AL194"/>
      <c r="AM194"/>
      <c r="AN194"/>
      <c r="AO194"/>
      <c r="AP194"/>
      <c r="AQ194"/>
      <c r="AR194"/>
      <c r="AS194"/>
    </row>
    <row r="195" spans="1:45">
      <c r="A195" s="3"/>
      <c r="B195" s="3"/>
      <c r="C195" s="3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/>
      <c r="AK195"/>
      <c r="AL195"/>
      <c r="AM195"/>
      <c r="AN195"/>
      <c r="AO195"/>
      <c r="AP195"/>
      <c r="AQ195"/>
      <c r="AR195"/>
      <c r="AS195"/>
    </row>
    <row r="196" spans="1:45">
      <c r="A196" s="3"/>
      <c r="B196" s="3"/>
      <c r="C196" s="3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/>
      <c r="AK196"/>
      <c r="AL196"/>
      <c r="AM196"/>
      <c r="AN196"/>
      <c r="AO196"/>
      <c r="AP196"/>
      <c r="AQ196"/>
      <c r="AR196"/>
      <c r="AS196"/>
    </row>
    <row r="197" spans="1:45">
      <c r="A197" s="3"/>
      <c r="B197" s="3"/>
      <c r="C197" s="3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/>
      <c r="AK197"/>
      <c r="AL197"/>
      <c r="AM197"/>
      <c r="AN197"/>
      <c r="AO197"/>
      <c r="AP197"/>
      <c r="AQ197"/>
      <c r="AR197"/>
      <c r="AS197"/>
    </row>
    <row r="198" spans="1:45">
      <c r="A198" s="3"/>
      <c r="B198" s="3"/>
      <c r="C198" s="3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/>
      <c r="AK198"/>
      <c r="AL198"/>
      <c r="AM198"/>
      <c r="AN198"/>
      <c r="AO198"/>
      <c r="AP198"/>
      <c r="AQ198"/>
      <c r="AR198"/>
      <c r="AS198"/>
    </row>
    <row r="199" spans="1:45">
      <c r="A199" s="3"/>
      <c r="B199" s="3"/>
      <c r="C199" s="3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/>
      <c r="AK199"/>
      <c r="AL199"/>
      <c r="AM199"/>
      <c r="AN199"/>
      <c r="AO199"/>
      <c r="AP199"/>
      <c r="AQ199"/>
      <c r="AR199"/>
      <c r="AS199"/>
    </row>
    <row r="200" spans="1:45">
      <c r="A200" s="3"/>
      <c r="B200" s="3"/>
      <c r="C200" s="3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/>
      <c r="AK200"/>
      <c r="AL200"/>
      <c r="AM200"/>
      <c r="AN200"/>
      <c r="AO200"/>
      <c r="AP200"/>
      <c r="AQ200"/>
      <c r="AR200"/>
      <c r="AS200"/>
    </row>
    <row r="201" spans="1:45">
      <c r="A201" s="3"/>
      <c r="B201" s="3"/>
      <c r="C201" s="3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/>
      <c r="AK201"/>
      <c r="AL201"/>
      <c r="AM201"/>
      <c r="AN201"/>
      <c r="AO201"/>
      <c r="AP201"/>
      <c r="AQ201"/>
      <c r="AR201"/>
      <c r="AS201"/>
    </row>
    <row r="202" spans="1:45">
      <c r="A202" s="3"/>
      <c r="B202" s="3"/>
      <c r="C202" s="3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/>
      <c r="AK202"/>
      <c r="AL202"/>
      <c r="AM202"/>
      <c r="AN202"/>
      <c r="AO202"/>
      <c r="AP202"/>
      <c r="AQ202"/>
      <c r="AR202"/>
      <c r="AS202"/>
    </row>
    <row r="203" spans="1:45">
      <c r="A203" s="3"/>
      <c r="B203" s="3"/>
      <c r="C203" s="3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/>
      <c r="AK203"/>
      <c r="AL203"/>
      <c r="AM203"/>
      <c r="AN203"/>
      <c r="AO203"/>
      <c r="AP203"/>
      <c r="AQ203"/>
      <c r="AR203"/>
      <c r="AS203"/>
    </row>
    <row r="204" spans="1:45">
      <c r="A204" s="3"/>
      <c r="B204" s="3"/>
      <c r="C204" s="3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/>
      <c r="AK204"/>
      <c r="AL204"/>
      <c r="AM204"/>
      <c r="AN204"/>
      <c r="AO204"/>
      <c r="AP204"/>
      <c r="AQ204"/>
      <c r="AR204"/>
      <c r="AS204"/>
    </row>
    <row r="205" spans="1:45">
      <c r="A205" s="3"/>
      <c r="B205" s="3"/>
      <c r="C205" s="3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/>
      <c r="AK205"/>
      <c r="AL205"/>
      <c r="AM205"/>
      <c r="AN205"/>
      <c r="AO205"/>
      <c r="AP205"/>
      <c r="AQ205"/>
      <c r="AR205"/>
      <c r="AS205"/>
    </row>
    <row r="206" spans="1:45">
      <c r="A206" s="3"/>
      <c r="B206" s="3"/>
      <c r="C206" s="3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/>
      <c r="AK206"/>
      <c r="AL206"/>
      <c r="AM206"/>
      <c r="AN206"/>
      <c r="AO206"/>
      <c r="AP206"/>
      <c r="AQ206"/>
      <c r="AR206"/>
      <c r="AS206"/>
    </row>
    <row r="207" spans="1:45">
      <c r="A207" s="3"/>
      <c r="B207" s="3"/>
      <c r="C207" s="3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/>
      <c r="AK207"/>
      <c r="AL207"/>
      <c r="AM207"/>
      <c r="AN207"/>
      <c r="AO207"/>
      <c r="AP207"/>
      <c r="AQ207"/>
      <c r="AR207"/>
      <c r="AS207"/>
    </row>
    <row r="208" spans="1:45">
      <c r="A208" s="3"/>
      <c r="B208" s="3"/>
      <c r="C208" s="3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/>
      <c r="AK208"/>
      <c r="AL208"/>
      <c r="AM208"/>
      <c r="AN208"/>
      <c r="AO208"/>
      <c r="AP208"/>
      <c r="AQ208"/>
      <c r="AR208"/>
      <c r="AS208"/>
    </row>
    <row r="209" spans="1:45">
      <c r="A209" s="3"/>
      <c r="B209" s="3"/>
      <c r="C209" s="3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/>
      <c r="AK209"/>
      <c r="AL209"/>
      <c r="AM209"/>
      <c r="AN209"/>
      <c r="AO209"/>
      <c r="AP209"/>
      <c r="AQ209"/>
      <c r="AR209"/>
      <c r="AS209"/>
    </row>
    <row r="210" spans="1:45">
      <c r="A210" s="3"/>
      <c r="B210" s="3"/>
      <c r="C210" s="3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/>
      <c r="AK210"/>
      <c r="AL210"/>
      <c r="AM210"/>
      <c r="AN210"/>
      <c r="AO210"/>
      <c r="AP210"/>
      <c r="AQ210"/>
      <c r="AR210"/>
      <c r="AS210"/>
    </row>
    <row r="211" spans="1:45">
      <c r="A211" s="3"/>
      <c r="B211" s="3"/>
      <c r="C211" s="3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/>
      <c r="AK211"/>
      <c r="AL211"/>
      <c r="AM211"/>
      <c r="AN211"/>
      <c r="AO211"/>
      <c r="AP211"/>
      <c r="AQ211"/>
      <c r="AR211"/>
      <c r="AS211"/>
    </row>
    <row r="212" spans="1:45">
      <c r="A212" s="3"/>
      <c r="B212" s="3"/>
      <c r="C212" s="3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/>
      <c r="AK212"/>
      <c r="AL212"/>
      <c r="AM212"/>
      <c r="AN212"/>
      <c r="AO212"/>
      <c r="AP212"/>
      <c r="AQ212"/>
      <c r="AR212"/>
      <c r="AS212"/>
    </row>
    <row r="213" spans="1:45">
      <c r="A213" s="3"/>
      <c r="B213" s="3"/>
      <c r="C213" s="3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/>
      <c r="AK213"/>
      <c r="AL213"/>
      <c r="AM213"/>
      <c r="AN213"/>
      <c r="AO213"/>
      <c r="AP213"/>
      <c r="AQ213"/>
      <c r="AR213"/>
      <c r="AS213"/>
    </row>
    <row r="214" spans="1:45">
      <c r="A214" s="3"/>
      <c r="B214" s="3"/>
      <c r="C214" s="3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/>
      <c r="AK214"/>
      <c r="AL214"/>
      <c r="AM214"/>
      <c r="AN214"/>
      <c r="AO214"/>
      <c r="AP214"/>
      <c r="AQ214"/>
      <c r="AR214"/>
      <c r="AS214"/>
    </row>
    <row r="215" spans="1:45">
      <c r="A215" s="3"/>
      <c r="B215" s="3"/>
      <c r="C215" s="3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/>
      <c r="AK215"/>
      <c r="AL215"/>
      <c r="AM215"/>
      <c r="AN215"/>
      <c r="AO215"/>
      <c r="AP215"/>
      <c r="AQ215"/>
      <c r="AR215"/>
      <c r="AS215"/>
    </row>
    <row r="216" spans="1:45">
      <c r="A216" s="3"/>
      <c r="B216" s="3"/>
      <c r="C216" s="3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/>
      <c r="AK216"/>
      <c r="AL216"/>
      <c r="AM216"/>
      <c r="AN216"/>
      <c r="AO216"/>
      <c r="AP216"/>
      <c r="AQ216"/>
      <c r="AR216"/>
      <c r="AS216"/>
    </row>
    <row r="217" spans="1:45">
      <c r="A217" s="3"/>
      <c r="B217" s="3"/>
      <c r="C217" s="3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/>
      <c r="AK217"/>
      <c r="AL217"/>
      <c r="AM217"/>
      <c r="AN217"/>
      <c r="AO217"/>
      <c r="AP217"/>
      <c r="AQ217"/>
      <c r="AR217"/>
      <c r="AS217"/>
    </row>
    <row r="218" spans="1:45">
      <c r="A218" s="3"/>
      <c r="B218" s="3"/>
      <c r="C218" s="3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/>
      <c r="AK218"/>
      <c r="AL218"/>
      <c r="AM218"/>
      <c r="AN218"/>
      <c r="AO218"/>
      <c r="AP218"/>
      <c r="AQ218"/>
      <c r="AR218"/>
      <c r="AS218"/>
    </row>
    <row r="219" spans="1:45">
      <c r="A219" s="3"/>
      <c r="B219" s="3"/>
      <c r="C219" s="3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/>
      <c r="AK219"/>
      <c r="AL219"/>
      <c r="AM219"/>
      <c r="AN219"/>
      <c r="AO219"/>
      <c r="AP219"/>
      <c r="AQ219"/>
      <c r="AR219"/>
      <c r="AS219"/>
    </row>
    <row r="220" spans="1:45">
      <c r="A220" s="3"/>
      <c r="B220" s="3"/>
      <c r="C220" s="3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/>
      <c r="AK220"/>
      <c r="AL220"/>
      <c r="AM220"/>
      <c r="AN220"/>
      <c r="AO220"/>
      <c r="AP220"/>
      <c r="AQ220"/>
      <c r="AR220"/>
      <c r="AS220"/>
    </row>
    <row r="221" spans="1:45">
      <c r="A221" s="3"/>
      <c r="B221" s="3"/>
      <c r="C221" s="3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/>
      <c r="AK221"/>
      <c r="AL221"/>
      <c r="AM221"/>
      <c r="AN221"/>
      <c r="AO221"/>
      <c r="AP221"/>
      <c r="AQ221"/>
      <c r="AR221"/>
      <c r="AS221"/>
    </row>
    <row r="222" spans="1:45">
      <c r="A222" s="3"/>
      <c r="B222" s="3"/>
      <c r="C222" s="3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/>
      <c r="AK222"/>
      <c r="AL222"/>
      <c r="AM222"/>
      <c r="AN222"/>
      <c r="AO222"/>
      <c r="AP222"/>
      <c r="AQ222"/>
      <c r="AR222"/>
      <c r="AS222"/>
    </row>
    <row r="223" spans="1:45">
      <c r="A223" s="3"/>
      <c r="B223" s="3"/>
      <c r="C223" s="3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/>
      <c r="AK223"/>
      <c r="AL223"/>
      <c r="AM223"/>
      <c r="AN223"/>
      <c r="AO223"/>
      <c r="AP223"/>
      <c r="AQ223"/>
      <c r="AR223"/>
      <c r="AS223"/>
    </row>
    <row r="224" spans="1:45">
      <c r="A224" s="3"/>
      <c r="B224" s="3"/>
      <c r="C224" s="3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/>
      <c r="AK224"/>
      <c r="AL224"/>
      <c r="AM224"/>
      <c r="AN224"/>
      <c r="AO224"/>
      <c r="AP224"/>
      <c r="AQ224"/>
      <c r="AR224"/>
      <c r="AS224"/>
    </row>
    <row r="225" spans="1:45">
      <c r="A225" s="3"/>
      <c r="B225" s="3"/>
      <c r="C225" s="3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/>
      <c r="AK225"/>
      <c r="AL225"/>
      <c r="AM225"/>
      <c r="AN225"/>
      <c r="AO225"/>
      <c r="AP225"/>
      <c r="AQ225"/>
      <c r="AR225"/>
      <c r="AS225"/>
    </row>
    <row r="226" spans="1:45">
      <c r="A226" s="3"/>
      <c r="B226" s="3"/>
      <c r="C226" s="3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/>
      <c r="AK226"/>
      <c r="AL226"/>
      <c r="AM226"/>
      <c r="AN226"/>
      <c r="AO226"/>
      <c r="AP226"/>
      <c r="AQ226"/>
      <c r="AR226"/>
      <c r="AS226"/>
    </row>
    <row r="227" spans="1:45">
      <c r="A227" s="3"/>
      <c r="B227" s="3"/>
      <c r="C227" s="3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/>
      <c r="AK227"/>
      <c r="AL227"/>
      <c r="AM227"/>
      <c r="AN227"/>
      <c r="AO227"/>
      <c r="AP227"/>
      <c r="AQ227"/>
      <c r="AR227"/>
      <c r="AS227"/>
    </row>
    <row r="228" spans="1:45">
      <c r="A228" s="3"/>
      <c r="B228" s="3"/>
      <c r="C228" s="3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/>
      <c r="AK228"/>
      <c r="AL228"/>
      <c r="AM228"/>
      <c r="AN228"/>
      <c r="AO228"/>
      <c r="AP228"/>
      <c r="AQ228"/>
      <c r="AR228"/>
      <c r="AS228"/>
    </row>
    <row r="229" spans="1:45">
      <c r="A229" s="3"/>
      <c r="B229" s="3"/>
      <c r="C229" s="3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/>
      <c r="AK229"/>
      <c r="AL229"/>
      <c r="AM229"/>
      <c r="AN229"/>
      <c r="AO229"/>
      <c r="AP229"/>
      <c r="AQ229"/>
      <c r="AR229"/>
      <c r="AS229"/>
    </row>
    <row r="230" spans="1:45">
      <c r="A230" s="3"/>
      <c r="B230" s="3"/>
      <c r="C230" s="3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/>
      <c r="AK230"/>
      <c r="AL230"/>
      <c r="AM230"/>
      <c r="AN230"/>
      <c r="AO230"/>
      <c r="AP230"/>
      <c r="AQ230"/>
      <c r="AR230"/>
      <c r="AS230"/>
    </row>
    <row r="231" spans="1:45">
      <c r="A231" s="3"/>
      <c r="B231" s="3"/>
      <c r="C231" s="3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/>
      <c r="AK231"/>
      <c r="AL231"/>
      <c r="AM231"/>
      <c r="AN231"/>
      <c r="AO231"/>
      <c r="AP231"/>
      <c r="AQ231"/>
      <c r="AR231"/>
      <c r="AS231"/>
    </row>
    <row r="232" spans="1:45">
      <c r="A232" s="3"/>
      <c r="B232" s="3"/>
      <c r="C232" s="3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/>
      <c r="AK232"/>
      <c r="AL232"/>
      <c r="AM232"/>
      <c r="AN232"/>
      <c r="AO232"/>
      <c r="AP232"/>
      <c r="AQ232"/>
      <c r="AR232"/>
      <c r="AS232"/>
    </row>
    <row r="233" spans="1:45">
      <c r="A233" s="3"/>
      <c r="B233" s="3"/>
      <c r="C233" s="3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/>
      <c r="AK233"/>
      <c r="AL233"/>
      <c r="AM233"/>
      <c r="AN233"/>
      <c r="AO233"/>
      <c r="AP233"/>
      <c r="AQ233"/>
      <c r="AR233"/>
      <c r="AS233"/>
    </row>
    <row r="234" spans="1:45">
      <c r="A234" s="3"/>
      <c r="B234" s="3"/>
      <c r="C234" s="3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/>
      <c r="AK234"/>
      <c r="AL234"/>
      <c r="AM234"/>
      <c r="AN234"/>
      <c r="AO234"/>
      <c r="AP234"/>
      <c r="AQ234"/>
      <c r="AR234"/>
      <c r="AS234"/>
    </row>
    <row r="235" spans="1:45">
      <c r="A235" s="3"/>
      <c r="B235" s="3"/>
      <c r="C235" s="3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/>
      <c r="AK235"/>
      <c r="AL235"/>
      <c r="AM235"/>
      <c r="AN235"/>
      <c r="AO235"/>
      <c r="AP235"/>
      <c r="AQ235"/>
      <c r="AR235"/>
      <c r="AS235"/>
    </row>
    <row r="236" spans="1:45">
      <c r="A236" s="3"/>
      <c r="B236" s="3"/>
      <c r="C236" s="3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/>
      <c r="AK236"/>
      <c r="AL236"/>
      <c r="AM236"/>
      <c r="AN236"/>
      <c r="AO236"/>
      <c r="AP236"/>
      <c r="AQ236"/>
      <c r="AR236"/>
      <c r="AS236"/>
    </row>
    <row r="237" spans="1:45">
      <c r="A237" s="3"/>
      <c r="B237" s="3"/>
      <c r="C237" s="3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/>
      <c r="AK237"/>
      <c r="AL237"/>
      <c r="AM237"/>
      <c r="AN237"/>
      <c r="AO237"/>
      <c r="AP237"/>
      <c r="AQ237"/>
      <c r="AR237"/>
      <c r="AS237"/>
    </row>
    <row r="238" spans="1:45">
      <c r="A238" s="3"/>
      <c r="B238" s="3"/>
      <c r="C238" s="3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/>
      <c r="AK238"/>
      <c r="AL238"/>
      <c r="AM238"/>
      <c r="AN238"/>
      <c r="AO238"/>
      <c r="AP238"/>
      <c r="AQ238"/>
      <c r="AR238"/>
      <c r="AS238"/>
    </row>
    <row r="239" spans="1:45">
      <c r="A239" s="3"/>
      <c r="B239" s="3"/>
      <c r="C239" s="3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/>
      <c r="AK239"/>
      <c r="AL239"/>
      <c r="AM239"/>
      <c r="AN239"/>
      <c r="AO239"/>
      <c r="AP239"/>
      <c r="AQ239"/>
      <c r="AR239"/>
      <c r="AS239"/>
    </row>
    <row r="240" spans="1:45">
      <c r="A240" s="3"/>
      <c r="B240" s="3"/>
      <c r="C240" s="3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/>
      <c r="AK240"/>
      <c r="AL240"/>
      <c r="AM240"/>
      <c r="AN240"/>
      <c r="AO240"/>
      <c r="AP240"/>
      <c r="AQ240"/>
      <c r="AR240"/>
      <c r="AS240"/>
    </row>
    <row r="241" spans="1:45">
      <c r="A241" s="3"/>
      <c r="B241" s="3"/>
      <c r="C241" s="3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/>
      <c r="AK241"/>
      <c r="AL241"/>
      <c r="AM241"/>
      <c r="AN241"/>
      <c r="AO241"/>
      <c r="AP241"/>
      <c r="AQ241"/>
      <c r="AR241"/>
      <c r="AS241"/>
    </row>
    <row r="242" spans="1:45">
      <c r="A242" s="3"/>
      <c r="B242" s="3"/>
      <c r="C242" s="3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/>
      <c r="AK242"/>
      <c r="AL242"/>
      <c r="AM242"/>
      <c r="AN242"/>
      <c r="AO242"/>
      <c r="AP242"/>
      <c r="AQ242"/>
      <c r="AR242"/>
      <c r="AS242"/>
    </row>
    <row r="243" spans="1:45">
      <c r="A243" s="3"/>
      <c r="B243" s="3"/>
      <c r="C243" s="3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/>
      <c r="AK243"/>
      <c r="AL243"/>
      <c r="AM243"/>
      <c r="AN243"/>
      <c r="AO243"/>
      <c r="AP243"/>
      <c r="AQ243"/>
      <c r="AR243"/>
      <c r="AS243"/>
    </row>
    <row r="244" spans="1:45">
      <c r="A244" s="3"/>
      <c r="B244" s="3"/>
      <c r="C244" s="3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/>
      <c r="AK244"/>
      <c r="AL244"/>
      <c r="AM244"/>
      <c r="AN244"/>
      <c r="AO244"/>
      <c r="AP244"/>
      <c r="AQ244"/>
      <c r="AR244"/>
      <c r="AS244"/>
    </row>
    <row r="245" spans="1:45">
      <c r="A245" s="3"/>
      <c r="B245" s="3"/>
      <c r="C245" s="3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/>
      <c r="AK245"/>
      <c r="AL245"/>
      <c r="AM245"/>
      <c r="AN245"/>
      <c r="AO245"/>
      <c r="AP245"/>
      <c r="AQ245"/>
      <c r="AR245"/>
      <c r="AS245"/>
    </row>
    <row r="246" spans="1:45">
      <c r="A246" s="3"/>
      <c r="B246" s="3"/>
      <c r="C246" s="3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/>
      <c r="AK246"/>
      <c r="AL246"/>
      <c r="AM246"/>
      <c r="AN246"/>
      <c r="AO246"/>
      <c r="AP246"/>
      <c r="AQ246"/>
      <c r="AR246"/>
      <c r="AS246"/>
    </row>
    <row r="247" spans="1:45">
      <c r="A247" s="3"/>
      <c r="B247" s="3"/>
      <c r="C247" s="3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/>
      <c r="AK247"/>
      <c r="AL247"/>
      <c r="AM247"/>
      <c r="AN247"/>
      <c r="AO247"/>
      <c r="AP247"/>
      <c r="AQ247"/>
      <c r="AR247"/>
      <c r="AS247"/>
    </row>
    <row r="248" spans="1:45">
      <c r="A248" s="3"/>
      <c r="B248" s="3"/>
      <c r="C248" s="3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/>
      <c r="AK248"/>
      <c r="AL248"/>
      <c r="AM248"/>
      <c r="AN248"/>
      <c r="AO248"/>
      <c r="AP248"/>
      <c r="AQ248"/>
      <c r="AR248"/>
      <c r="AS248"/>
    </row>
    <row r="249" spans="1:45">
      <c r="A249" s="3"/>
      <c r="B249" s="3"/>
      <c r="C249" s="3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/>
      <c r="AK249"/>
      <c r="AL249"/>
      <c r="AM249"/>
      <c r="AN249"/>
      <c r="AO249"/>
      <c r="AP249"/>
      <c r="AQ249"/>
      <c r="AR249"/>
      <c r="AS249"/>
    </row>
    <row r="250" spans="1:45">
      <c r="A250" s="3"/>
      <c r="B250" s="3"/>
      <c r="C250" s="3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/>
      <c r="AK250"/>
      <c r="AL250"/>
      <c r="AM250"/>
      <c r="AN250"/>
      <c r="AO250"/>
      <c r="AP250"/>
      <c r="AQ250"/>
      <c r="AR250"/>
      <c r="AS250"/>
    </row>
    <row r="251" spans="1:45">
      <c r="A251" s="3"/>
      <c r="B251" s="3"/>
      <c r="C251" s="3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/>
      <c r="AK251"/>
      <c r="AL251"/>
      <c r="AM251"/>
      <c r="AN251"/>
      <c r="AO251"/>
      <c r="AP251"/>
      <c r="AQ251"/>
      <c r="AR251"/>
      <c r="AS251"/>
    </row>
    <row r="252" spans="1:45">
      <c r="A252" s="3"/>
      <c r="B252" s="3"/>
      <c r="C252" s="3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/>
      <c r="AK252"/>
      <c r="AL252"/>
      <c r="AM252"/>
      <c r="AN252"/>
      <c r="AO252"/>
      <c r="AP252"/>
      <c r="AQ252"/>
      <c r="AR252"/>
      <c r="AS252"/>
    </row>
    <row r="253" spans="1:45">
      <c r="A253" s="3"/>
      <c r="B253" s="3"/>
      <c r="C253" s="3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/>
      <c r="AK253"/>
      <c r="AL253"/>
      <c r="AM253"/>
      <c r="AN253"/>
      <c r="AO253"/>
      <c r="AP253"/>
      <c r="AQ253"/>
      <c r="AR253"/>
      <c r="AS253"/>
    </row>
    <row r="254" spans="1:45">
      <c r="A254" s="3"/>
      <c r="B254" s="3"/>
      <c r="C254" s="3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/>
      <c r="AK254"/>
      <c r="AL254"/>
      <c r="AM254"/>
      <c r="AN254"/>
      <c r="AO254"/>
      <c r="AP254"/>
      <c r="AQ254"/>
      <c r="AR254"/>
      <c r="AS254"/>
    </row>
    <row r="255" spans="1:45">
      <c r="A255" s="3"/>
      <c r="B255" s="3"/>
      <c r="C255" s="3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/>
      <c r="AK255"/>
      <c r="AL255"/>
      <c r="AM255"/>
      <c r="AN255"/>
      <c r="AO255"/>
      <c r="AP255"/>
      <c r="AQ255"/>
      <c r="AR255"/>
      <c r="AS255"/>
    </row>
    <row r="256" spans="1:45">
      <c r="A256" s="3"/>
      <c r="B256" s="3"/>
      <c r="C256" s="3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/>
      <c r="AK256"/>
      <c r="AL256"/>
      <c r="AM256"/>
      <c r="AN256"/>
      <c r="AO256"/>
      <c r="AP256"/>
      <c r="AQ256"/>
      <c r="AR256"/>
      <c r="AS256"/>
    </row>
    <row r="257" spans="1:45">
      <c r="A257" s="3"/>
      <c r="B257" s="3"/>
      <c r="C257" s="3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/>
      <c r="AK257"/>
      <c r="AL257"/>
      <c r="AM257"/>
      <c r="AN257"/>
      <c r="AO257"/>
      <c r="AP257"/>
      <c r="AQ257"/>
      <c r="AR257"/>
      <c r="AS257"/>
    </row>
    <row r="258" spans="1:45">
      <c r="A258" s="3"/>
      <c r="B258" s="3"/>
      <c r="C258" s="3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/>
      <c r="AK258"/>
      <c r="AL258"/>
      <c r="AM258"/>
      <c r="AN258"/>
      <c r="AO258"/>
      <c r="AP258"/>
      <c r="AQ258"/>
      <c r="AR258"/>
      <c r="AS258"/>
    </row>
    <row r="259" spans="1:45">
      <c r="A259" s="3"/>
      <c r="B259" s="3"/>
      <c r="C259" s="3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/>
      <c r="AK259"/>
      <c r="AL259"/>
      <c r="AM259"/>
      <c r="AN259"/>
      <c r="AO259"/>
      <c r="AP259"/>
      <c r="AQ259"/>
      <c r="AR259"/>
      <c r="AS259"/>
    </row>
    <row r="260" spans="1:45">
      <c r="A260" s="3"/>
      <c r="B260" s="3"/>
      <c r="C260" s="3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/>
      <c r="AK260"/>
      <c r="AL260"/>
      <c r="AM260"/>
      <c r="AN260"/>
      <c r="AO260"/>
      <c r="AP260"/>
      <c r="AQ260"/>
      <c r="AR260"/>
      <c r="AS260"/>
    </row>
    <row r="261" spans="1:45">
      <c r="A261" s="3"/>
      <c r="B261" s="3"/>
      <c r="C261" s="3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/>
      <c r="AK261"/>
      <c r="AL261"/>
      <c r="AM261"/>
      <c r="AN261"/>
      <c r="AO261"/>
      <c r="AP261"/>
      <c r="AQ261"/>
      <c r="AR261"/>
      <c r="AS261"/>
    </row>
    <row r="262" spans="1:45">
      <c r="A262" s="3"/>
      <c r="B262" s="3"/>
      <c r="C262" s="3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/>
      <c r="AK262"/>
      <c r="AL262"/>
      <c r="AM262"/>
      <c r="AN262"/>
      <c r="AO262"/>
      <c r="AP262"/>
      <c r="AQ262"/>
      <c r="AR262"/>
      <c r="AS262"/>
    </row>
    <row r="263" spans="1:45">
      <c r="A263" s="3"/>
      <c r="B263" s="3"/>
      <c r="C263" s="3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/>
      <c r="AK263"/>
      <c r="AL263"/>
      <c r="AM263"/>
      <c r="AN263"/>
      <c r="AO263"/>
      <c r="AP263"/>
      <c r="AQ263"/>
      <c r="AR263"/>
      <c r="AS263"/>
    </row>
    <row r="264" spans="1:45">
      <c r="A264" s="3"/>
      <c r="B264" s="3"/>
      <c r="C264" s="3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/>
      <c r="AK264"/>
      <c r="AL264"/>
      <c r="AM264"/>
      <c r="AN264"/>
      <c r="AO264"/>
      <c r="AP264"/>
      <c r="AQ264"/>
      <c r="AR264"/>
      <c r="AS264"/>
    </row>
    <row r="265" spans="1:45">
      <c r="A265" s="3"/>
      <c r="B265" s="3"/>
      <c r="C265" s="3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/>
      <c r="AK265"/>
      <c r="AL265"/>
      <c r="AM265"/>
      <c r="AN265"/>
      <c r="AO265"/>
      <c r="AP265"/>
      <c r="AQ265"/>
      <c r="AR265"/>
      <c r="AS265"/>
    </row>
    <row r="266" spans="1:45">
      <c r="A266" s="3"/>
      <c r="B266" s="3"/>
      <c r="C266" s="3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/>
      <c r="AK266"/>
      <c r="AL266"/>
      <c r="AM266"/>
      <c r="AN266"/>
      <c r="AO266"/>
      <c r="AP266"/>
      <c r="AQ266"/>
      <c r="AR266"/>
      <c r="AS266"/>
    </row>
    <row r="267" spans="1:45">
      <c r="A267" s="3"/>
      <c r="B267" s="3"/>
      <c r="C267" s="3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/>
      <c r="AK267"/>
      <c r="AL267"/>
      <c r="AM267"/>
      <c r="AN267"/>
      <c r="AO267"/>
      <c r="AP267"/>
      <c r="AQ267"/>
      <c r="AR267"/>
      <c r="AS267"/>
    </row>
    <row r="268" spans="1:45">
      <c r="A268" s="3"/>
      <c r="B268" s="3"/>
      <c r="C268" s="3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/>
      <c r="AK268"/>
      <c r="AL268"/>
      <c r="AM268"/>
      <c r="AN268"/>
      <c r="AO268"/>
      <c r="AP268"/>
      <c r="AQ268"/>
      <c r="AR268"/>
      <c r="AS268"/>
    </row>
    <row r="269" spans="1:45">
      <c r="A269" s="3"/>
      <c r="B269" s="3"/>
      <c r="C269" s="3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/>
      <c r="AK269"/>
      <c r="AL269"/>
      <c r="AM269"/>
      <c r="AN269"/>
      <c r="AO269"/>
      <c r="AP269"/>
      <c r="AQ269"/>
      <c r="AR269"/>
      <c r="AS269"/>
    </row>
    <row r="270" spans="1:45">
      <c r="A270" s="3"/>
      <c r="B270" s="3"/>
      <c r="C270" s="3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/>
      <c r="AK270"/>
      <c r="AL270"/>
      <c r="AM270"/>
      <c r="AN270"/>
      <c r="AO270"/>
      <c r="AP270"/>
      <c r="AQ270"/>
      <c r="AR270"/>
      <c r="AS270"/>
    </row>
    <row r="271" spans="1:45">
      <c r="A271" s="3"/>
      <c r="B271" s="3"/>
      <c r="C271" s="3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/>
      <c r="AK271"/>
      <c r="AL271"/>
      <c r="AM271"/>
      <c r="AN271"/>
      <c r="AO271"/>
      <c r="AP271"/>
      <c r="AQ271"/>
      <c r="AR271"/>
      <c r="AS271"/>
    </row>
    <row r="272" spans="1:45">
      <c r="A272" s="3"/>
      <c r="B272" s="3"/>
      <c r="C272" s="3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/>
      <c r="AK272"/>
      <c r="AL272"/>
      <c r="AM272"/>
      <c r="AN272"/>
      <c r="AO272"/>
      <c r="AP272"/>
      <c r="AQ272"/>
      <c r="AR272"/>
      <c r="AS272"/>
    </row>
    <row r="273" spans="1:45">
      <c r="A273" s="3"/>
      <c r="B273" s="3"/>
      <c r="C273" s="3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/>
      <c r="AK273"/>
      <c r="AL273"/>
      <c r="AM273"/>
      <c r="AN273"/>
      <c r="AO273"/>
      <c r="AP273"/>
      <c r="AQ273"/>
      <c r="AR273"/>
      <c r="AS273"/>
    </row>
    <row r="274" spans="1:45">
      <c r="A274" s="3"/>
      <c r="B274" s="3"/>
      <c r="C274" s="3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/>
      <c r="AK274"/>
      <c r="AL274"/>
      <c r="AM274"/>
      <c r="AN274"/>
      <c r="AO274"/>
      <c r="AP274"/>
      <c r="AQ274"/>
      <c r="AR274"/>
      <c r="AS274"/>
    </row>
    <row r="275" spans="1:45">
      <c r="A275" s="3"/>
      <c r="B275" s="3"/>
      <c r="C275" s="3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/>
      <c r="AK275"/>
      <c r="AL275"/>
      <c r="AM275"/>
      <c r="AN275"/>
      <c r="AO275"/>
      <c r="AP275"/>
      <c r="AQ275"/>
      <c r="AR275"/>
      <c r="AS275"/>
    </row>
    <row r="276" spans="1:45">
      <c r="A276" s="3"/>
      <c r="B276" s="3"/>
      <c r="C276" s="3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/>
      <c r="AK276"/>
      <c r="AL276"/>
      <c r="AM276"/>
      <c r="AN276"/>
      <c r="AO276"/>
      <c r="AP276"/>
      <c r="AQ276"/>
      <c r="AR276"/>
      <c r="AS276"/>
    </row>
    <row r="277" spans="1:45">
      <c r="A277" s="3"/>
      <c r="B277" s="3"/>
      <c r="C277" s="3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/>
      <c r="AK277"/>
      <c r="AL277"/>
      <c r="AM277"/>
      <c r="AN277"/>
      <c r="AO277"/>
      <c r="AP277"/>
      <c r="AQ277"/>
      <c r="AR277"/>
      <c r="AS277"/>
    </row>
    <row r="278" spans="1:45">
      <c r="A278" s="3"/>
      <c r="B278" s="3"/>
      <c r="C278" s="3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/>
      <c r="AK278"/>
      <c r="AL278"/>
      <c r="AM278"/>
      <c r="AN278"/>
      <c r="AO278"/>
      <c r="AP278"/>
      <c r="AQ278"/>
      <c r="AR278"/>
      <c r="AS278"/>
    </row>
    <row r="279" spans="1:45">
      <c r="A279" s="3"/>
      <c r="B279" s="3"/>
      <c r="C279" s="3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/>
      <c r="AK279"/>
      <c r="AL279"/>
      <c r="AM279"/>
      <c r="AN279"/>
      <c r="AO279"/>
      <c r="AP279"/>
      <c r="AQ279"/>
      <c r="AR279"/>
      <c r="AS279"/>
    </row>
    <row r="280" spans="1:45">
      <c r="A280" s="3"/>
      <c r="B280" s="3"/>
      <c r="C280" s="3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/>
      <c r="AK280"/>
      <c r="AL280"/>
      <c r="AM280"/>
      <c r="AN280"/>
      <c r="AO280"/>
      <c r="AP280"/>
      <c r="AQ280"/>
      <c r="AR280"/>
      <c r="AS280"/>
    </row>
    <row r="281" spans="1:45">
      <c r="A281" s="3"/>
      <c r="B281" s="3"/>
      <c r="C281" s="3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/>
      <c r="AK281"/>
      <c r="AL281"/>
      <c r="AM281"/>
      <c r="AN281"/>
      <c r="AO281"/>
      <c r="AP281"/>
      <c r="AQ281"/>
      <c r="AR281"/>
      <c r="AS281"/>
    </row>
    <row r="282" spans="1:45">
      <c r="A282" s="3"/>
      <c r="B282" s="3"/>
      <c r="C282" s="3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/>
      <c r="AK282"/>
      <c r="AL282"/>
      <c r="AM282"/>
      <c r="AN282"/>
      <c r="AO282"/>
      <c r="AP282"/>
      <c r="AQ282"/>
      <c r="AR282"/>
      <c r="AS282"/>
    </row>
    <row r="283" spans="1:45">
      <c r="A283" s="3"/>
      <c r="B283" s="3"/>
      <c r="C283" s="3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/>
      <c r="AK283"/>
      <c r="AL283"/>
      <c r="AM283"/>
      <c r="AN283"/>
      <c r="AO283"/>
      <c r="AP283"/>
      <c r="AQ283"/>
      <c r="AR283"/>
      <c r="AS283"/>
    </row>
    <row r="284" spans="1:45">
      <c r="A284" s="3"/>
      <c r="B284" s="3"/>
      <c r="C284" s="3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/>
      <c r="AK284"/>
      <c r="AL284"/>
      <c r="AM284"/>
      <c r="AN284"/>
      <c r="AO284"/>
      <c r="AP284"/>
      <c r="AQ284"/>
      <c r="AR284"/>
      <c r="AS284"/>
    </row>
    <row r="285" spans="1:45">
      <c r="A285" s="3"/>
      <c r="B285" s="3"/>
      <c r="C285" s="3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/>
      <c r="AK285"/>
      <c r="AL285"/>
      <c r="AM285"/>
      <c r="AN285"/>
      <c r="AO285"/>
      <c r="AP285"/>
      <c r="AQ285"/>
      <c r="AR285"/>
      <c r="AS285"/>
    </row>
    <row r="286" spans="1:45">
      <c r="A286" s="3"/>
      <c r="B286" s="3"/>
      <c r="C286" s="3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/>
      <c r="AK286"/>
      <c r="AL286"/>
      <c r="AM286"/>
      <c r="AN286"/>
      <c r="AO286"/>
      <c r="AP286"/>
      <c r="AQ286"/>
      <c r="AR286"/>
      <c r="AS286"/>
    </row>
    <row r="287" spans="1:45">
      <c r="A287" s="3"/>
      <c r="B287" s="3"/>
      <c r="C287" s="3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/>
      <c r="AK287"/>
      <c r="AL287"/>
      <c r="AM287"/>
      <c r="AN287"/>
      <c r="AO287"/>
      <c r="AP287"/>
      <c r="AQ287"/>
      <c r="AR287"/>
      <c r="AS287"/>
    </row>
    <row r="288" spans="1:45">
      <c r="A288" s="3"/>
      <c r="B288" s="3"/>
      <c r="C288" s="3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/>
      <c r="AK288"/>
      <c r="AL288"/>
      <c r="AM288"/>
      <c r="AN288"/>
      <c r="AO288"/>
      <c r="AP288"/>
      <c r="AQ288"/>
      <c r="AR288"/>
      <c r="AS288"/>
    </row>
    <row r="289" spans="1:45">
      <c r="A289" s="3"/>
      <c r="B289" s="3"/>
      <c r="C289" s="3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/>
      <c r="AK289"/>
      <c r="AL289"/>
      <c r="AM289"/>
      <c r="AN289"/>
      <c r="AO289"/>
      <c r="AP289"/>
      <c r="AQ289"/>
      <c r="AR289"/>
      <c r="AS289"/>
    </row>
    <row r="290" spans="1:45">
      <c r="A290" s="3"/>
      <c r="B290" s="3"/>
      <c r="C290" s="3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/>
      <c r="AK290"/>
      <c r="AL290"/>
      <c r="AM290"/>
      <c r="AN290"/>
      <c r="AO290"/>
      <c r="AP290"/>
      <c r="AQ290"/>
      <c r="AR290"/>
      <c r="AS290"/>
    </row>
    <row r="291" spans="1:45">
      <c r="A291" s="3"/>
      <c r="B291" s="3"/>
      <c r="C291" s="3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/>
      <c r="AK291"/>
      <c r="AL291"/>
      <c r="AM291"/>
      <c r="AN291"/>
      <c r="AO291"/>
      <c r="AP291"/>
      <c r="AQ291"/>
      <c r="AR291"/>
      <c r="AS291"/>
    </row>
    <row r="292" spans="1:45">
      <c r="A292" s="3"/>
      <c r="B292" s="3"/>
      <c r="C292" s="3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/>
      <c r="AK292"/>
      <c r="AL292"/>
      <c r="AM292"/>
      <c r="AN292"/>
      <c r="AO292"/>
      <c r="AP292"/>
      <c r="AQ292"/>
      <c r="AR292"/>
      <c r="AS292"/>
    </row>
    <row r="293" spans="1:45">
      <c r="A293" s="3"/>
      <c r="B293" s="3"/>
      <c r="C293" s="3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/>
      <c r="AK293"/>
      <c r="AL293"/>
      <c r="AM293"/>
      <c r="AN293"/>
      <c r="AO293"/>
      <c r="AP293"/>
      <c r="AQ293"/>
      <c r="AR293"/>
      <c r="AS293"/>
    </row>
    <row r="294" spans="1:45">
      <c r="A294" s="3"/>
      <c r="B294" s="3"/>
      <c r="C294" s="3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/>
      <c r="AK294"/>
      <c r="AL294"/>
      <c r="AM294"/>
      <c r="AN294"/>
      <c r="AO294"/>
      <c r="AP294"/>
      <c r="AQ294"/>
      <c r="AR294"/>
      <c r="AS294"/>
    </row>
    <row r="295" spans="1:45">
      <c r="A295" s="3"/>
      <c r="B295" s="3"/>
      <c r="C295" s="3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/>
      <c r="AK295"/>
      <c r="AL295"/>
      <c r="AM295"/>
      <c r="AN295"/>
      <c r="AO295"/>
      <c r="AP295"/>
      <c r="AQ295"/>
      <c r="AR295"/>
      <c r="AS295"/>
    </row>
    <row r="296" spans="1:45">
      <c r="A296" s="3"/>
      <c r="B296" s="3"/>
      <c r="C296" s="3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/>
      <c r="AK296"/>
      <c r="AL296"/>
      <c r="AM296"/>
      <c r="AN296"/>
      <c r="AO296"/>
      <c r="AP296"/>
      <c r="AQ296"/>
      <c r="AR296"/>
      <c r="AS296"/>
    </row>
    <row r="297" spans="1:45">
      <c r="A297" s="3"/>
      <c r="B297" s="3"/>
      <c r="C297" s="3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/>
      <c r="AK297"/>
      <c r="AL297"/>
      <c r="AM297"/>
      <c r="AN297"/>
      <c r="AO297"/>
      <c r="AP297"/>
      <c r="AQ297"/>
      <c r="AR297"/>
      <c r="AS297"/>
    </row>
    <row r="298" spans="1:45">
      <c r="A298" s="3"/>
      <c r="B298" s="3"/>
      <c r="C298" s="3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/>
      <c r="AK298"/>
      <c r="AL298"/>
      <c r="AM298"/>
      <c r="AN298"/>
      <c r="AO298"/>
      <c r="AP298"/>
      <c r="AQ298"/>
      <c r="AR298"/>
      <c r="AS298"/>
    </row>
    <row r="299" spans="1:45">
      <c r="A299" s="3"/>
      <c r="B299" s="3"/>
      <c r="C299" s="3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/>
      <c r="AK299"/>
      <c r="AL299"/>
      <c r="AM299"/>
      <c r="AN299"/>
      <c r="AO299"/>
      <c r="AP299"/>
      <c r="AQ299"/>
      <c r="AR299"/>
      <c r="AS299"/>
    </row>
    <row r="300" spans="1:45">
      <c r="A300" s="3"/>
      <c r="B300" s="3"/>
      <c r="C300" s="3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/>
      <c r="AK300"/>
      <c r="AL300"/>
      <c r="AM300"/>
      <c r="AN300"/>
      <c r="AO300"/>
      <c r="AP300"/>
      <c r="AQ300"/>
      <c r="AR300"/>
      <c r="AS300"/>
    </row>
    <row r="301" spans="1:45">
      <c r="A301" s="3"/>
      <c r="B301" s="3"/>
      <c r="C301" s="3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/>
      <c r="AK301"/>
      <c r="AL301"/>
      <c r="AM301"/>
      <c r="AN301"/>
      <c r="AO301"/>
      <c r="AP301"/>
      <c r="AQ301"/>
      <c r="AR301"/>
      <c r="AS301"/>
    </row>
    <row r="302" spans="1:45">
      <c r="A302" s="3"/>
      <c r="B302" s="3"/>
      <c r="C302" s="3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/>
      <c r="AK302"/>
      <c r="AL302"/>
      <c r="AM302"/>
      <c r="AN302"/>
      <c r="AO302"/>
      <c r="AP302"/>
      <c r="AQ302"/>
      <c r="AR302"/>
      <c r="AS302"/>
    </row>
    <row r="303" spans="1:45">
      <c r="A303" s="3"/>
      <c r="B303" s="3"/>
      <c r="C303" s="3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/>
      <c r="AK303"/>
      <c r="AL303"/>
      <c r="AM303"/>
      <c r="AN303"/>
      <c r="AO303"/>
      <c r="AP303"/>
      <c r="AQ303"/>
      <c r="AR303"/>
      <c r="AS303"/>
    </row>
    <row r="304" spans="1:45">
      <c r="A304" s="3"/>
      <c r="B304" s="3"/>
      <c r="C304" s="3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/>
      <c r="AK304"/>
      <c r="AL304"/>
      <c r="AM304"/>
      <c r="AN304"/>
      <c r="AO304"/>
      <c r="AP304"/>
      <c r="AQ304"/>
      <c r="AR304"/>
      <c r="AS304"/>
    </row>
    <row r="305" spans="1:45">
      <c r="A305" s="3"/>
      <c r="B305" s="3"/>
      <c r="C305" s="3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/>
      <c r="AK305"/>
      <c r="AL305"/>
      <c r="AM305"/>
      <c r="AN305"/>
      <c r="AO305"/>
      <c r="AP305"/>
      <c r="AQ305"/>
      <c r="AR305"/>
      <c r="AS305"/>
    </row>
    <row r="306" spans="1:45">
      <c r="A306" s="3"/>
      <c r="B306" s="3"/>
      <c r="C306" s="3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/>
      <c r="AK306"/>
      <c r="AL306"/>
      <c r="AM306"/>
      <c r="AN306"/>
      <c r="AO306"/>
      <c r="AP306"/>
      <c r="AQ306"/>
      <c r="AR306"/>
      <c r="AS306"/>
    </row>
    <row r="307" spans="1:45">
      <c r="A307" s="3"/>
      <c r="B307" s="3"/>
      <c r="C307" s="3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/>
      <c r="AK307"/>
      <c r="AL307"/>
      <c r="AM307"/>
      <c r="AN307"/>
      <c r="AO307"/>
      <c r="AP307"/>
      <c r="AQ307"/>
      <c r="AR307"/>
      <c r="AS307"/>
    </row>
    <row r="308" spans="1:45">
      <c r="A308" s="3"/>
      <c r="B308" s="3"/>
      <c r="C308" s="3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/>
      <c r="AK308"/>
      <c r="AL308"/>
      <c r="AM308"/>
      <c r="AN308"/>
      <c r="AO308"/>
      <c r="AP308"/>
      <c r="AQ308"/>
      <c r="AR308"/>
      <c r="AS308"/>
    </row>
    <row r="309" spans="1:45">
      <c r="A309" s="3"/>
      <c r="B309" s="3"/>
      <c r="C309" s="3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/>
      <c r="AK309"/>
      <c r="AL309"/>
      <c r="AM309"/>
      <c r="AN309"/>
      <c r="AO309"/>
      <c r="AP309"/>
      <c r="AQ309"/>
      <c r="AR309"/>
      <c r="AS309"/>
    </row>
    <row r="310" spans="1:45">
      <c r="A310" s="3"/>
      <c r="B310" s="3"/>
      <c r="C310" s="3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/>
      <c r="AK310"/>
      <c r="AL310"/>
      <c r="AM310"/>
      <c r="AN310"/>
      <c r="AO310"/>
      <c r="AP310"/>
      <c r="AQ310"/>
      <c r="AR310"/>
      <c r="AS310"/>
    </row>
    <row r="311" spans="1:45">
      <c r="A311" s="3"/>
      <c r="B311" s="3"/>
      <c r="C311" s="3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/>
      <c r="AK311"/>
      <c r="AL311"/>
      <c r="AM311"/>
      <c r="AN311"/>
      <c r="AO311"/>
      <c r="AP311"/>
      <c r="AQ311"/>
      <c r="AR311"/>
      <c r="AS311"/>
    </row>
    <row r="312" spans="1:45">
      <c r="A312" s="3"/>
      <c r="B312" s="3"/>
      <c r="C312" s="3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/>
      <c r="AK312"/>
      <c r="AL312"/>
      <c r="AM312"/>
      <c r="AN312"/>
      <c r="AO312"/>
      <c r="AP312"/>
      <c r="AQ312"/>
      <c r="AR312"/>
      <c r="AS312"/>
    </row>
    <row r="313" spans="1:45">
      <c r="A313" s="3"/>
      <c r="B313" s="3"/>
      <c r="C313" s="3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/>
      <c r="AK313"/>
      <c r="AL313"/>
      <c r="AM313"/>
      <c r="AN313"/>
      <c r="AO313"/>
      <c r="AP313"/>
      <c r="AQ313"/>
      <c r="AR313"/>
      <c r="AS313"/>
    </row>
    <row r="314" spans="1:45">
      <c r="A314" s="3"/>
      <c r="B314" s="3"/>
      <c r="C314" s="3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/>
      <c r="AK314"/>
      <c r="AL314"/>
      <c r="AM314"/>
      <c r="AN314"/>
      <c r="AO314"/>
      <c r="AP314"/>
      <c r="AQ314"/>
      <c r="AR314"/>
      <c r="AS314"/>
    </row>
    <row r="315" spans="1:45">
      <c r="A315" s="3"/>
      <c r="B315" s="3"/>
      <c r="C315" s="3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/>
      <c r="AK315"/>
      <c r="AL315"/>
      <c r="AM315"/>
      <c r="AN315"/>
      <c r="AO315"/>
      <c r="AP315"/>
      <c r="AQ315"/>
      <c r="AR315"/>
      <c r="AS315"/>
    </row>
    <row r="316" spans="1:45">
      <c r="A316" s="3"/>
      <c r="B316" s="3"/>
      <c r="C316" s="3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/>
      <c r="AK316"/>
      <c r="AL316"/>
      <c r="AM316"/>
      <c r="AN316"/>
      <c r="AO316"/>
      <c r="AP316"/>
      <c r="AQ316"/>
      <c r="AR316"/>
      <c r="AS316"/>
    </row>
    <row r="317" spans="1:45">
      <c r="A317" s="3"/>
      <c r="B317" s="3"/>
      <c r="C317" s="3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/>
      <c r="AK317"/>
      <c r="AL317"/>
      <c r="AM317"/>
      <c r="AN317"/>
      <c r="AO317"/>
      <c r="AP317"/>
      <c r="AQ317"/>
      <c r="AR317"/>
      <c r="AS317"/>
    </row>
    <row r="318" spans="1:45">
      <c r="A318" s="3"/>
      <c r="B318" s="3"/>
      <c r="C318" s="3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/>
      <c r="AK318"/>
      <c r="AL318"/>
      <c r="AM318"/>
      <c r="AN318"/>
      <c r="AO318"/>
      <c r="AP318"/>
      <c r="AQ318"/>
      <c r="AR318"/>
      <c r="AS318"/>
    </row>
    <row r="319" spans="1:45">
      <c r="A319" s="3"/>
      <c r="B319" s="3"/>
      <c r="C319" s="3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/>
      <c r="AK319"/>
      <c r="AL319"/>
      <c r="AM319"/>
      <c r="AN319"/>
      <c r="AO319"/>
      <c r="AP319"/>
      <c r="AQ319"/>
      <c r="AR319"/>
      <c r="AS319"/>
    </row>
    <row r="320" spans="1:45">
      <c r="A320" s="3"/>
      <c r="B320" s="3"/>
      <c r="C320" s="3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/>
      <c r="AK320"/>
      <c r="AL320"/>
      <c r="AM320"/>
      <c r="AN320"/>
      <c r="AO320"/>
      <c r="AP320"/>
      <c r="AQ320"/>
      <c r="AR320"/>
      <c r="AS320"/>
    </row>
    <row r="321" spans="1:45">
      <c r="A321" s="3"/>
      <c r="B321" s="3"/>
      <c r="C321" s="3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/>
      <c r="AK321"/>
      <c r="AL321"/>
      <c r="AM321"/>
      <c r="AN321"/>
      <c r="AO321"/>
      <c r="AP321"/>
      <c r="AQ321"/>
      <c r="AR321"/>
      <c r="AS321"/>
    </row>
    <row r="322" spans="1:45">
      <c r="A322" s="3"/>
      <c r="B322" s="3"/>
      <c r="C322" s="3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/>
      <c r="AK322"/>
      <c r="AL322"/>
      <c r="AM322"/>
      <c r="AN322"/>
      <c r="AO322"/>
      <c r="AP322"/>
      <c r="AQ322"/>
      <c r="AR322"/>
      <c r="AS322"/>
    </row>
    <row r="323" spans="1:45">
      <c r="A323" s="3"/>
      <c r="B323" s="3"/>
      <c r="C323" s="3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/>
      <c r="AK323"/>
      <c r="AL323"/>
      <c r="AM323"/>
      <c r="AN323"/>
      <c r="AO323"/>
      <c r="AP323"/>
      <c r="AQ323"/>
      <c r="AR323"/>
      <c r="AS323"/>
    </row>
    <row r="324" spans="1:45">
      <c r="A324" s="3"/>
      <c r="B324" s="3"/>
      <c r="C324" s="3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/>
      <c r="AK324"/>
      <c r="AL324"/>
      <c r="AM324"/>
      <c r="AN324"/>
      <c r="AO324"/>
      <c r="AP324"/>
      <c r="AQ324"/>
      <c r="AR324"/>
      <c r="AS324"/>
    </row>
    <row r="325" spans="1:45">
      <c r="A325" s="3"/>
      <c r="B325" s="3"/>
      <c r="C325" s="3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/>
      <c r="AK325"/>
      <c r="AL325"/>
      <c r="AM325"/>
      <c r="AN325"/>
      <c r="AO325"/>
      <c r="AP325"/>
      <c r="AQ325"/>
      <c r="AR325"/>
      <c r="AS325"/>
    </row>
    <row r="326" spans="1:45">
      <c r="A326" s="3"/>
      <c r="B326" s="3"/>
      <c r="C326" s="3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/>
      <c r="AK326"/>
      <c r="AL326"/>
      <c r="AM326"/>
      <c r="AN326"/>
      <c r="AO326"/>
      <c r="AP326"/>
      <c r="AQ326"/>
      <c r="AR326"/>
      <c r="AS326"/>
    </row>
    <row r="327" spans="1:45">
      <c r="A327" s="3"/>
      <c r="B327" s="3"/>
      <c r="C327" s="3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/>
      <c r="AK327"/>
      <c r="AL327"/>
      <c r="AM327"/>
      <c r="AN327"/>
      <c r="AO327"/>
      <c r="AP327"/>
      <c r="AQ327"/>
      <c r="AR327"/>
      <c r="AS327"/>
    </row>
    <row r="328" spans="1:45">
      <c r="A328" s="3"/>
      <c r="B328" s="3"/>
      <c r="C328" s="3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/>
      <c r="AK328"/>
      <c r="AL328"/>
      <c r="AM328"/>
      <c r="AN328"/>
      <c r="AO328"/>
      <c r="AP328"/>
      <c r="AQ328"/>
      <c r="AR328"/>
      <c r="AS328"/>
    </row>
    <row r="329" spans="1:45">
      <c r="A329" s="3"/>
      <c r="B329" s="3"/>
      <c r="C329" s="3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/>
      <c r="AK329"/>
      <c r="AL329"/>
      <c r="AM329"/>
      <c r="AN329"/>
      <c r="AO329"/>
      <c r="AP329"/>
      <c r="AQ329"/>
      <c r="AR329"/>
      <c r="AS329"/>
    </row>
    <row r="330" spans="1:45">
      <c r="A330" s="3"/>
      <c r="B330" s="3"/>
      <c r="C330" s="3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/>
      <c r="AK330"/>
      <c r="AL330"/>
      <c r="AM330"/>
      <c r="AN330"/>
      <c r="AO330"/>
      <c r="AP330"/>
      <c r="AQ330"/>
      <c r="AR330"/>
      <c r="AS330"/>
    </row>
    <row r="331" spans="1:45">
      <c r="A331" s="3"/>
      <c r="B331" s="3"/>
      <c r="C331" s="3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/>
      <c r="AK331"/>
      <c r="AL331"/>
      <c r="AM331"/>
      <c r="AN331"/>
      <c r="AO331"/>
      <c r="AP331"/>
      <c r="AQ331"/>
      <c r="AR331"/>
      <c r="AS331"/>
    </row>
    <row r="332" spans="1:45">
      <c r="A332" s="3"/>
      <c r="B332" s="3"/>
      <c r="C332" s="3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/>
      <c r="AK332"/>
      <c r="AL332"/>
      <c r="AM332"/>
      <c r="AN332"/>
      <c r="AO332"/>
      <c r="AP332"/>
      <c r="AQ332"/>
      <c r="AR332"/>
      <c r="AS332"/>
    </row>
    <row r="333" spans="1:45">
      <c r="A333" s="3"/>
      <c r="B333" s="3"/>
      <c r="C333" s="3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/>
      <c r="AK333"/>
      <c r="AL333"/>
      <c r="AM333"/>
      <c r="AN333"/>
      <c r="AO333"/>
      <c r="AP333"/>
      <c r="AQ333"/>
      <c r="AR333"/>
      <c r="AS333"/>
    </row>
    <row r="334" spans="1:45">
      <c r="A334" s="3"/>
      <c r="B334" s="3"/>
      <c r="C334" s="3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/>
      <c r="AK334"/>
      <c r="AL334"/>
      <c r="AM334"/>
      <c r="AN334"/>
      <c r="AO334"/>
      <c r="AP334"/>
      <c r="AQ334"/>
      <c r="AR334"/>
      <c r="AS334"/>
    </row>
    <row r="335" spans="1:45">
      <c r="A335" s="3"/>
      <c r="B335" s="3"/>
      <c r="C335" s="3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/>
      <c r="AK335"/>
      <c r="AL335"/>
      <c r="AM335"/>
      <c r="AN335"/>
      <c r="AO335"/>
      <c r="AP335"/>
      <c r="AQ335"/>
      <c r="AR335"/>
      <c r="AS335"/>
    </row>
    <row r="336" spans="1:45">
      <c r="A336" s="3"/>
      <c r="B336" s="3"/>
      <c r="C336" s="3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/>
      <c r="AK336"/>
      <c r="AL336"/>
      <c r="AM336"/>
      <c r="AN336"/>
      <c r="AO336"/>
      <c r="AP336"/>
      <c r="AQ336"/>
      <c r="AR336"/>
      <c r="AS336"/>
    </row>
    <row r="337" spans="1:45">
      <c r="A337" s="3"/>
      <c r="B337" s="3"/>
      <c r="C337" s="3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/>
      <c r="AK337"/>
      <c r="AL337"/>
      <c r="AM337"/>
      <c r="AN337"/>
      <c r="AO337"/>
      <c r="AP337"/>
      <c r="AQ337"/>
      <c r="AR337"/>
      <c r="AS337"/>
    </row>
    <row r="338" spans="1:45">
      <c r="A338" s="3"/>
      <c r="B338" s="3"/>
      <c r="C338" s="3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/>
      <c r="AK338"/>
      <c r="AL338"/>
      <c r="AM338"/>
      <c r="AN338"/>
      <c r="AO338"/>
      <c r="AP338"/>
      <c r="AQ338"/>
      <c r="AR338"/>
      <c r="AS338"/>
    </row>
    <row r="339" spans="1:45">
      <c r="A339" s="3"/>
      <c r="B339" s="3"/>
      <c r="C339" s="3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/>
      <c r="AK339"/>
      <c r="AL339"/>
      <c r="AM339"/>
      <c r="AN339"/>
      <c r="AO339"/>
      <c r="AP339"/>
      <c r="AQ339"/>
      <c r="AR339"/>
      <c r="AS339"/>
    </row>
    <row r="340" spans="1:45">
      <c r="A340" s="3"/>
      <c r="B340" s="3"/>
      <c r="C340" s="3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/>
      <c r="AK340"/>
      <c r="AL340"/>
      <c r="AM340"/>
      <c r="AN340"/>
      <c r="AO340"/>
      <c r="AP340"/>
      <c r="AQ340"/>
      <c r="AR340"/>
      <c r="AS340"/>
    </row>
    <row r="341" spans="1:45">
      <c r="A341" s="3"/>
      <c r="B341" s="3"/>
      <c r="C341" s="3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/>
      <c r="AK341"/>
      <c r="AL341"/>
      <c r="AM341"/>
      <c r="AN341"/>
      <c r="AO341"/>
      <c r="AP341"/>
      <c r="AQ341"/>
      <c r="AR341"/>
      <c r="AS341"/>
    </row>
    <row r="342" spans="1:45">
      <c r="A342" s="3"/>
      <c r="B342" s="3"/>
      <c r="C342" s="3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/>
      <c r="AK342"/>
      <c r="AL342"/>
      <c r="AM342"/>
      <c r="AN342"/>
      <c r="AO342"/>
      <c r="AP342"/>
      <c r="AQ342"/>
      <c r="AR342"/>
      <c r="AS342"/>
    </row>
    <row r="343" spans="1:45">
      <c r="A343" s="3"/>
      <c r="B343" s="3"/>
      <c r="C343" s="3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/>
      <c r="AK343"/>
      <c r="AL343"/>
      <c r="AM343"/>
      <c r="AN343"/>
      <c r="AO343"/>
      <c r="AP343"/>
      <c r="AQ343"/>
      <c r="AR343"/>
      <c r="AS343"/>
    </row>
    <row r="344" spans="1:45">
      <c r="A344" s="3"/>
      <c r="B344" s="3"/>
      <c r="C344" s="3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/>
      <c r="AK344"/>
      <c r="AL344"/>
      <c r="AM344"/>
      <c r="AN344"/>
      <c r="AO344"/>
      <c r="AP344"/>
      <c r="AQ344"/>
      <c r="AR344"/>
      <c r="AS344"/>
    </row>
    <row r="345" spans="1:45">
      <c r="A345" s="3"/>
      <c r="B345" s="3"/>
      <c r="C345" s="3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/>
      <c r="AK345"/>
      <c r="AL345"/>
      <c r="AM345"/>
      <c r="AN345"/>
      <c r="AO345"/>
      <c r="AP345"/>
      <c r="AQ345"/>
      <c r="AR345"/>
      <c r="AS345"/>
    </row>
    <row r="346" spans="1:45">
      <c r="A346" s="3"/>
      <c r="B346" s="3"/>
      <c r="C346" s="3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/>
      <c r="AK346"/>
      <c r="AL346"/>
      <c r="AM346"/>
      <c r="AN346"/>
      <c r="AO346"/>
      <c r="AP346"/>
      <c r="AQ346"/>
      <c r="AR346"/>
      <c r="AS346"/>
    </row>
    <row r="347" spans="1:45">
      <c r="A347" s="3"/>
      <c r="B347" s="3"/>
      <c r="C347" s="3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/>
      <c r="AK347"/>
      <c r="AL347"/>
      <c r="AM347"/>
      <c r="AN347"/>
      <c r="AO347"/>
      <c r="AP347"/>
      <c r="AQ347"/>
      <c r="AR347"/>
      <c r="AS347"/>
    </row>
    <row r="348" spans="1:45">
      <c r="A348" s="3"/>
      <c r="B348" s="3"/>
      <c r="C348" s="3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/>
      <c r="AK348"/>
      <c r="AL348"/>
      <c r="AM348"/>
      <c r="AN348"/>
      <c r="AO348"/>
      <c r="AP348"/>
      <c r="AQ348"/>
      <c r="AR348"/>
      <c r="AS348"/>
    </row>
    <row r="349" spans="1:45">
      <c r="A349" s="3"/>
      <c r="B349" s="3"/>
      <c r="C349" s="3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/>
      <c r="AK349"/>
      <c r="AL349"/>
      <c r="AM349"/>
      <c r="AN349"/>
      <c r="AO349"/>
      <c r="AP349"/>
      <c r="AQ349"/>
      <c r="AR349"/>
      <c r="AS349"/>
    </row>
    <row r="350" spans="1:45">
      <c r="A350" s="3"/>
      <c r="B350" s="3"/>
      <c r="C350" s="3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/>
      <c r="AK350"/>
      <c r="AL350"/>
      <c r="AM350"/>
      <c r="AN350"/>
      <c r="AO350"/>
      <c r="AP350"/>
      <c r="AQ350"/>
      <c r="AR350"/>
      <c r="AS350"/>
    </row>
    <row r="351" spans="1:45">
      <c r="A351" s="3"/>
      <c r="B351" s="3"/>
      <c r="C351" s="3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/>
      <c r="AK351"/>
      <c r="AL351"/>
      <c r="AM351"/>
      <c r="AN351"/>
      <c r="AO351"/>
      <c r="AP351"/>
      <c r="AQ351"/>
      <c r="AR351"/>
      <c r="AS351"/>
    </row>
    <row r="352" spans="1:45">
      <c r="A352" s="3"/>
      <c r="B352" s="3"/>
      <c r="C352" s="3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/>
      <c r="AK352"/>
      <c r="AL352"/>
      <c r="AM352"/>
      <c r="AN352"/>
      <c r="AO352"/>
      <c r="AP352"/>
      <c r="AQ352"/>
      <c r="AR352"/>
      <c r="AS352"/>
    </row>
    <row r="353" spans="1:45">
      <c r="A353" s="3"/>
      <c r="B353" s="3"/>
      <c r="C353" s="3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/>
      <c r="AK353"/>
      <c r="AL353"/>
      <c r="AM353"/>
      <c r="AN353"/>
      <c r="AO353"/>
      <c r="AP353"/>
      <c r="AQ353"/>
      <c r="AR353"/>
      <c r="AS353"/>
    </row>
    <row r="354" spans="1:45">
      <c r="A354" s="3"/>
      <c r="B354" s="3"/>
      <c r="C354" s="3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/>
      <c r="AK354"/>
      <c r="AL354"/>
      <c r="AM354"/>
      <c r="AN354"/>
      <c r="AO354"/>
      <c r="AP354"/>
      <c r="AQ354"/>
      <c r="AR354"/>
      <c r="AS354"/>
    </row>
    <row r="355" spans="1:45">
      <c r="A355" s="3"/>
      <c r="B355" s="3"/>
      <c r="C355" s="3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/>
      <c r="AK355"/>
      <c r="AL355"/>
      <c r="AM355"/>
      <c r="AN355"/>
      <c r="AO355"/>
      <c r="AP355"/>
      <c r="AQ355"/>
      <c r="AR355"/>
      <c r="AS355"/>
    </row>
    <row r="356" spans="1:45">
      <c r="A356" s="3"/>
      <c r="B356" s="3"/>
      <c r="C356" s="3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/>
      <c r="AK356"/>
      <c r="AL356"/>
      <c r="AM356"/>
      <c r="AN356"/>
      <c r="AO356"/>
      <c r="AP356"/>
      <c r="AQ356"/>
      <c r="AR356"/>
      <c r="AS356"/>
    </row>
    <row r="357" spans="1:45">
      <c r="A357" s="3"/>
      <c r="B357" s="3"/>
      <c r="C357" s="3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/>
      <c r="AK357"/>
      <c r="AL357"/>
      <c r="AM357"/>
      <c r="AN357"/>
      <c r="AO357"/>
      <c r="AP357"/>
      <c r="AQ357"/>
      <c r="AR357"/>
      <c r="AS357"/>
    </row>
    <row r="358" spans="1:45">
      <c r="A358" s="3"/>
      <c r="B358" s="3"/>
      <c r="C358" s="3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/>
      <c r="AK358"/>
      <c r="AL358"/>
      <c r="AM358"/>
      <c r="AN358"/>
      <c r="AO358"/>
      <c r="AP358"/>
      <c r="AQ358"/>
      <c r="AR358"/>
      <c r="AS358"/>
    </row>
    <row r="359" spans="1:45">
      <c r="A359" s="3"/>
      <c r="B359" s="3"/>
      <c r="C359" s="3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/>
      <c r="AK359"/>
      <c r="AL359"/>
      <c r="AM359"/>
      <c r="AN359"/>
      <c r="AO359"/>
      <c r="AP359"/>
      <c r="AQ359"/>
      <c r="AR359"/>
      <c r="AS359"/>
    </row>
    <row r="360" spans="1:45">
      <c r="A360" s="3"/>
      <c r="B360" s="3"/>
      <c r="C360" s="3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/>
      <c r="AK360"/>
      <c r="AL360"/>
      <c r="AM360"/>
      <c r="AN360"/>
      <c r="AO360"/>
      <c r="AP360"/>
      <c r="AQ360"/>
      <c r="AR360"/>
      <c r="AS360"/>
    </row>
    <row r="361" spans="1:45">
      <c r="A361" s="3"/>
      <c r="B361" s="3"/>
      <c r="C361" s="3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/>
      <c r="AK361"/>
      <c r="AL361"/>
      <c r="AM361"/>
      <c r="AN361"/>
      <c r="AO361"/>
      <c r="AP361"/>
      <c r="AQ361"/>
      <c r="AR361"/>
      <c r="AS361"/>
    </row>
    <row r="362" spans="1:45">
      <c r="A362" s="3"/>
      <c r="B362" s="3"/>
      <c r="C362" s="3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/>
      <c r="AK362"/>
      <c r="AL362"/>
      <c r="AM362"/>
      <c r="AN362"/>
      <c r="AO362"/>
      <c r="AP362"/>
      <c r="AQ362"/>
      <c r="AR362"/>
      <c r="AS362"/>
    </row>
    <row r="363" spans="1:45">
      <c r="A363" s="3"/>
      <c r="B363" s="3"/>
      <c r="C363" s="3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/>
      <c r="AK363"/>
      <c r="AL363"/>
      <c r="AM363"/>
      <c r="AN363"/>
      <c r="AO363"/>
      <c r="AP363"/>
      <c r="AQ363"/>
      <c r="AR363"/>
      <c r="AS363"/>
    </row>
    <row r="364" spans="1:45">
      <c r="A364" s="3"/>
      <c r="B364" s="3"/>
      <c r="C364" s="3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/>
      <c r="AK364"/>
      <c r="AL364"/>
      <c r="AM364"/>
      <c r="AN364"/>
      <c r="AO364"/>
      <c r="AP364"/>
      <c r="AQ364"/>
      <c r="AR364"/>
      <c r="AS364"/>
    </row>
    <row r="365" spans="1:45">
      <c r="A365" s="3"/>
      <c r="B365" s="3"/>
      <c r="C365" s="3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/>
      <c r="AK365"/>
      <c r="AL365"/>
      <c r="AM365"/>
      <c r="AN365"/>
      <c r="AO365"/>
      <c r="AP365"/>
      <c r="AQ365"/>
      <c r="AR365"/>
      <c r="AS365"/>
    </row>
    <row r="366" spans="1:45">
      <c r="A366" s="3"/>
      <c r="B366" s="3"/>
      <c r="C366" s="3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/>
      <c r="AK366"/>
      <c r="AL366"/>
      <c r="AM366"/>
      <c r="AN366"/>
      <c r="AO366"/>
      <c r="AP366"/>
      <c r="AQ366"/>
      <c r="AR366"/>
      <c r="AS366"/>
    </row>
    <row r="367" spans="1:45">
      <c r="A367" s="3"/>
      <c r="B367" s="3"/>
      <c r="C367" s="3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/>
      <c r="AK367"/>
      <c r="AL367"/>
      <c r="AM367"/>
      <c r="AN367"/>
      <c r="AO367"/>
      <c r="AP367"/>
      <c r="AQ367"/>
      <c r="AR367"/>
      <c r="AS367"/>
    </row>
    <row r="368" spans="1:45">
      <c r="A368" s="3"/>
      <c r="B368" s="3"/>
      <c r="C368" s="3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/>
      <c r="AK368"/>
      <c r="AL368"/>
      <c r="AM368"/>
      <c r="AN368"/>
      <c r="AO368"/>
      <c r="AP368"/>
      <c r="AQ368"/>
      <c r="AR368"/>
      <c r="AS368"/>
    </row>
    <row r="369" spans="1:45">
      <c r="A369" s="3"/>
      <c r="B369" s="3"/>
      <c r="C369" s="3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/>
      <c r="AK369"/>
      <c r="AL369"/>
      <c r="AM369"/>
      <c r="AN369"/>
      <c r="AO369"/>
      <c r="AP369"/>
      <c r="AQ369"/>
      <c r="AR369"/>
      <c r="AS369"/>
    </row>
    <row r="370" spans="1:45">
      <c r="A370" s="3"/>
      <c r="B370" s="3"/>
      <c r="C370" s="3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/>
      <c r="AK370"/>
      <c r="AL370"/>
      <c r="AM370"/>
      <c r="AN370"/>
      <c r="AO370"/>
      <c r="AP370"/>
      <c r="AQ370"/>
      <c r="AR370"/>
      <c r="AS370"/>
    </row>
    <row r="371" spans="1:45">
      <c r="A371" s="3"/>
      <c r="B371" s="3"/>
      <c r="C371" s="3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/>
      <c r="AK371"/>
      <c r="AL371"/>
      <c r="AM371"/>
      <c r="AN371"/>
      <c r="AO371"/>
      <c r="AP371"/>
      <c r="AQ371"/>
      <c r="AR371"/>
      <c r="AS371"/>
    </row>
    <row r="372" spans="1:45">
      <c r="A372" s="3"/>
      <c r="B372" s="3"/>
      <c r="C372" s="3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/>
      <c r="AK372"/>
      <c r="AL372"/>
      <c r="AM372"/>
      <c r="AN372"/>
      <c r="AO372"/>
      <c r="AP372"/>
      <c r="AQ372"/>
      <c r="AR372"/>
      <c r="AS372"/>
    </row>
    <row r="373" spans="1:45">
      <c r="A373" s="3"/>
      <c r="B373" s="3"/>
      <c r="C373" s="3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/>
      <c r="AK373"/>
      <c r="AL373"/>
      <c r="AM373"/>
      <c r="AN373"/>
      <c r="AO373"/>
      <c r="AP373"/>
      <c r="AQ373"/>
      <c r="AR373"/>
      <c r="AS373"/>
    </row>
    <row r="374" spans="1:45">
      <c r="A374" s="3"/>
      <c r="B374" s="3"/>
      <c r="C374" s="3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/>
      <c r="AK374"/>
      <c r="AL374"/>
      <c r="AM374"/>
      <c r="AN374"/>
      <c r="AO374"/>
      <c r="AP374"/>
      <c r="AQ374"/>
      <c r="AR374"/>
      <c r="AS374"/>
    </row>
    <row r="375" spans="1:45">
      <c r="A375" s="3"/>
      <c r="B375" s="3"/>
      <c r="C375" s="3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/>
      <c r="AK375"/>
      <c r="AL375"/>
      <c r="AM375"/>
      <c r="AN375"/>
      <c r="AO375"/>
      <c r="AP375"/>
      <c r="AQ375"/>
      <c r="AR375"/>
      <c r="AS375"/>
    </row>
    <row r="376" spans="1:45">
      <c r="A376" s="3"/>
      <c r="B376" s="3"/>
      <c r="C376" s="3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/>
      <c r="AK376"/>
      <c r="AL376"/>
      <c r="AM376"/>
      <c r="AN376"/>
      <c r="AO376"/>
      <c r="AP376"/>
      <c r="AQ376"/>
      <c r="AR376"/>
      <c r="AS376"/>
    </row>
    <row r="377" spans="1:45">
      <c r="A377" s="3"/>
      <c r="B377" s="3"/>
      <c r="C377" s="3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/>
      <c r="AK377"/>
      <c r="AL377"/>
      <c r="AM377"/>
      <c r="AN377"/>
      <c r="AO377"/>
      <c r="AP377"/>
      <c r="AQ377"/>
      <c r="AR377"/>
      <c r="AS377"/>
    </row>
    <row r="378" spans="1:45">
      <c r="A378" s="3"/>
      <c r="B378" s="3"/>
      <c r="C378" s="3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/>
      <c r="AK378"/>
      <c r="AL378"/>
      <c r="AM378"/>
      <c r="AN378"/>
      <c r="AO378"/>
      <c r="AP378"/>
      <c r="AQ378"/>
      <c r="AR378"/>
      <c r="AS378"/>
    </row>
    <row r="379" spans="1:45">
      <c r="A379" s="3"/>
      <c r="B379" s="3"/>
      <c r="C379" s="3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/>
      <c r="AK379"/>
      <c r="AL379"/>
      <c r="AM379"/>
      <c r="AN379"/>
      <c r="AO379"/>
      <c r="AP379"/>
      <c r="AQ379"/>
      <c r="AR379"/>
      <c r="AS379"/>
    </row>
    <row r="380" spans="1:45">
      <c r="A380" s="3"/>
      <c r="B380" s="3"/>
      <c r="C380" s="3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/>
      <c r="AK380"/>
      <c r="AL380"/>
      <c r="AM380"/>
      <c r="AN380"/>
      <c r="AO380"/>
      <c r="AP380"/>
      <c r="AQ380"/>
      <c r="AR380"/>
      <c r="AS380"/>
    </row>
    <row r="381" spans="1:45">
      <c r="A381" s="3"/>
      <c r="B381" s="3"/>
      <c r="C381" s="3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/>
      <c r="AK381"/>
      <c r="AL381"/>
      <c r="AM381"/>
      <c r="AN381"/>
      <c r="AO381"/>
      <c r="AP381"/>
      <c r="AQ381"/>
      <c r="AR381"/>
      <c r="AS381"/>
    </row>
    <row r="382" spans="1:45">
      <c r="A382" s="3"/>
      <c r="B382" s="3"/>
      <c r="C382" s="3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/>
      <c r="AK382"/>
      <c r="AL382"/>
      <c r="AM382"/>
      <c r="AN382"/>
      <c r="AO382"/>
      <c r="AP382"/>
      <c r="AQ382"/>
      <c r="AR382"/>
      <c r="AS382"/>
    </row>
    <row r="383" spans="1:45">
      <c r="A383" s="3"/>
      <c r="B383" s="3"/>
      <c r="C383" s="3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/>
      <c r="AK383"/>
      <c r="AL383"/>
      <c r="AM383"/>
      <c r="AN383"/>
      <c r="AO383"/>
      <c r="AP383"/>
      <c r="AQ383"/>
      <c r="AR383"/>
      <c r="AS383"/>
    </row>
    <row r="384" spans="1:45">
      <c r="A384" s="3"/>
      <c r="B384" s="3"/>
      <c r="C384" s="3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/>
      <c r="AK384"/>
      <c r="AL384"/>
      <c r="AM384"/>
      <c r="AN384"/>
      <c r="AO384"/>
      <c r="AP384"/>
      <c r="AQ384"/>
      <c r="AR384"/>
      <c r="AS384"/>
    </row>
    <row r="385" spans="1:45">
      <c r="A385" s="3"/>
      <c r="B385" s="3"/>
      <c r="C385" s="3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/>
      <c r="AK385"/>
      <c r="AL385"/>
      <c r="AM385"/>
      <c r="AN385"/>
      <c r="AO385"/>
      <c r="AP385"/>
      <c r="AQ385"/>
      <c r="AR385"/>
      <c r="AS385"/>
    </row>
    <row r="386" spans="1:45">
      <c r="A386" s="3"/>
      <c r="B386" s="3"/>
      <c r="C386" s="3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/>
      <c r="AK386"/>
      <c r="AL386"/>
      <c r="AM386"/>
      <c r="AN386"/>
      <c r="AO386"/>
      <c r="AP386"/>
      <c r="AQ386"/>
      <c r="AR386"/>
      <c r="AS386"/>
    </row>
    <row r="387" spans="1:45">
      <c r="A387" s="3"/>
      <c r="B387" s="3"/>
      <c r="C387" s="3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/>
      <c r="AK387"/>
      <c r="AL387"/>
      <c r="AM387"/>
      <c r="AN387"/>
      <c r="AO387"/>
      <c r="AP387"/>
      <c r="AQ387"/>
      <c r="AR387"/>
      <c r="AS387"/>
    </row>
    <row r="388" spans="1:45">
      <c r="A388" s="3"/>
      <c r="B388" s="3"/>
      <c r="C388" s="3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/>
      <c r="AK388"/>
      <c r="AL388"/>
      <c r="AM388"/>
      <c r="AN388"/>
      <c r="AO388"/>
      <c r="AP388"/>
      <c r="AQ388"/>
      <c r="AR388"/>
      <c r="AS388"/>
    </row>
    <row r="389" spans="1:45">
      <c r="A389" s="3"/>
      <c r="B389" s="3"/>
      <c r="C389" s="3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/>
      <c r="AK389"/>
      <c r="AL389"/>
      <c r="AM389"/>
      <c r="AN389"/>
      <c r="AO389"/>
      <c r="AP389"/>
      <c r="AQ389"/>
      <c r="AR389"/>
      <c r="AS389"/>
    </row>
    <row r="390" spans="1:45">
      <c r="A390" s="3"/>
      <c r="B390" s="3"/>
      <c r="C390" s="3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/>
      <c r="AK390"/>
      <c r="AL390"/>
      <c r="AM390"/>
      <c r="AN390"/>
      <c r="AO390"/>
      <c r="AP390"/>
      <c r="AQ390"/>
      <c r="AR390"/>
      <c r="AS390"/>
    </row>
    <row r="391" spans="1:45">
      <c r="A391" s="3"/>
      <c r="B391" s="3"/>
      <c r="C391" s="3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/>
      <c r="AK391"/>
      <c r="AL391"/>
      <c r="AM391"/>
      <c r="AN391"/>
      <c r="AO391"/>
      <c r="AP391"/>
      <c r="AQ391"/>
      <c r="AR391"/>
      <c r="AS391"/>
    </row>
    <row r="392" spans="1:45">
      <c r="A392" s="3"/>
      <c r="B392" s="3"/>
      <c r="C392" s="3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/>
      <c r="AK392"/>
      <c r="AL392"/>
      <c r="AM392"/>
      <c r="AN392"/>
      <c r="AO392"/>
      <c r="AP392"/>
      <c r="AQ392"/>
      <c r="AR392"/>
      <c r="AS392"/>
    </row>
    <row r="393" spans="1:45">
      <c r="A393" s="3"/>
      <c r="B393" s="3"/>
      <c r="C393" s="3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/>
      <c r="AK393"/>
      <c r="AL393"/>
      <c r="AM393"/>
      <c r="AN393"/>
      <c r="AO393"/>
      <c r="AP393"/>
      <c r="AQ393"/>
      <c r="AR393"/>
      <c r="AS393"/>
    </row>
    <row r="394" spans="1:45">
      <c r="A394" s="3"/>
      <c r="B394" s="3"/>
      <c r="C394" s="3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/>
      <c r="AK394"/>
      <c r="AL394"/>
      <c r="AM394"/>
      <c r="AN394"/>
      <c r="AO394"/>
      <c r="AP394"/>
      <c r="AQ394"/>
      <c r="AR394"/>
      <c r="AS394"/>
    </row>
    <row r="395" spans="1:45">
      <c r="A395" s="3"/>
      <c r="B395" s="3"/>
      <c r="C395" s="3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/>
      <c r="AK395"/>
      <c r="AL395"/>
      <c r="AM395"/>
      <c r="AN395"/>
      <c r="AO395"/>
      <c r="AP395"/>
      <c r="AQ395"/>
      <c r="AR395"/>
      <c r="AS395"/>
    </row>
    <row r="396" spans="1:45">
      <c r="A396" s="3"/>
      <c r="B396" s="3"/>
      <c r="C396" s="3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/>
      <c r="AK396"/>
      <c r="AL396"/>
      <c r="AM396"/>
      <c r="AN396"/>
      <c r="AO396"/>
      <c r="AP396"/>
      <c r="AQ396"/>
      <c r="AR396"/>
      <c r="AS396"/>
    </row>
    <row r="397" spans="1:45">
      <c r="A397" s="3"/>
      <c r="B397" s="3"/>
      <c r="C397" s="3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/>
      <c r="AK397"/>
      <c r="AL397"/>
      <c r="AM397"/>
      <c r="AN397"/>
      <c r="AO397"/>
      <c r="AP397"/>
      <c r="AQ397"/>
      <c r="AR397"/>
      <c r="AS397"/>
    </row>
    <row r="398" spans="1:45">
      <c r="A398" s="3"/>
      <c r="B398" s="3"/>
      <c r="C398" s="3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/>
      <c r="AK398"/>
      <c r="AL398"/>
      <c r="AM398"/>
      <c r="AN398"/>
      <c r="AO398"/>
      <c r="AP398"/>
      <c r="AQ398"/>
      <c r="AR398"/>
      <c r="AS398"/>
    </row>
    <row r="399" spans="1:45">
      <c r="A399" s="3"/>
      <c r="B399" s="3"/>
      <c r="C399" s="3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/>
      <c r="AK399"/>
      <c r="AL399"/>
      <c r="AM399"/>
      <c r="AN399"/>
      <c r="AO399"/>
      <c r="AP399"/>
      <c r="AQ399"/>
      <c r="AR399"/>
      <c r="AS399"/>
    </row>
    <row r="400" spans="1:45">
      <c r="A400" s="3"/>
      <c r="B400" s="3"/>
      <c r="C400" s="3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/>
      <c r="AK400"/>
      <c r="AL400"/>
      <c r="AM400"/>
      <c r="AN400"/>
      <c r="AO400"/>
      <c r="AP400"/>
      <c r="AQ400"/>
      <c r="AR400"/>
      <c r="AS400"/>
    </row>
    <row r="401" spans="1:45">
      <c r="A401" s="3"/>
      <c r="B401" s="3"/>
      <c r="C401" s="3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/>
      <c r="AK401"/>
      <c r="AL401"/>
      <c r="AM401"/>
      <c r="AN401"/>
      <c r="AO401"/>
      <c r="AP401"/>
      <c r="AQ401"/>
      <c r="AR401"/>
      <c r="AS401"/>
    </row>
    <row r="402" spans="1:45">
      <c r="A402" s="3"/>
      <c r="B402" s="3"/>
      <c r="C402" s="3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/>
      <c r="AK402"/>
      <c r="AL402"/>
      <c r="AM402"/>
      <c r="AN402"/>
      <c r="AO402"/>
      <c r="AP402"/>
      <c r="AQ402"/>
      <c r="AR402"/>
      <c r="AS402"/>
    </row>
    <row r="403" spans="1:45">
      <c r="A403" s="3"/>
      <c r="B403" s="3"/>
      <c r="C403" s="3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/>
      <c r="AK403"/>
      <c r="AL403"/>
      <c r="AM403"/>
      <c r="AN403"/>
      <c r="AO403"/>
      <c r="AP403"/>
      <c r="AQ403"/>
      <c r="AR403"/>
      <c r="AS403"/>
    </row>
    <row r="404" spans="1:45">
      <c r="A404" s="3"/>
      <c r="B404" s="3"/>
      <c r="C404" s="3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/>
      <c r="AK404"/>
      <c r="AL404"/>
      <c r="AM404"/>
      <c r="AN404"/>
      <c r="AO404"/>
      <c r="AP404"/>
      <c r="AQ404"/>
      <c r="AR404"/>
      <c r="AS404"/>
    </row>
    <row r="405" spans="1:45">
      <c r="A405" s="3"/>
      <c r="B405" s="3"/>
      <c r="C405" s="3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/>
      <c r="AK405"/>
      <c r="AL405"/>
      <c r="AM405"/>
      <c r="AN405"/>
      <c r="AO405"/>
      <c r="AP405"/>
      <c r="AQ405"/>
      <c r="AR405"/>
      <c r="AS405"/>
    </row>
    <row r="406" spans="1:45">
      <c r="A406" s="3"/>
      <c r="B406" s="3"/>
      <c r="C406" s="3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/>
      <c r="AK406"/>
      <c r="AL406"/>
      <c r="AM406"/>
      <c r="AN406"/>
      <c r="AO406"/>
      <c r="AP406"/>
      <c r="AQ406"/>
      <c r="AR406"/>
      <c r="AS406"/>
    </row>
    <row r="407" spans="1:45">
      <c r="A407" s="3"/>
      <c r="B407" s="3"/>
      <c r="C407" s="3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/>
      <c r="AK407"/>
      <c r="AL407"/>
      <c r="AM407"/>
      <c r="AN407"/>
      <c r="AO407"/>
      <c r="AP407"/>
      <c r="AQ407"/>
      <c r="AR407"/>
      <c r="AS407"/>
    </row>
    <row r="408" spans="1:45">
      <c r="A408" s="3"/>
      <c r="B408" s="3"/>
      <c r="C408" s="3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/>
      <c r="AK408"/>
      <c r="AL408"/>
      <c r="AM408"/>
      <c r="AN408"/>
      <c r="AO408"/>
      <c r="AP408"/>
      <c r="AQ408"/>
      <c r="AR408"/>
      <c r="AS408"/>
    </row>
    <row r="409" spans="1:45">
      <c r="A409" s="3"/>
      <c r="B409" s="3"/>
      <c r="C409" s="3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/>
      <c r="AK409"/>
      <c r="AL409"/>
      <c r="AM409"/>
      <c r="AN409"/>
      <c r="AO409"/>
      <c r="AP409"/>
      <c r="AQ409"/>
      <c r="AR409"/>
      <c r="AS409"/>
    </row>
    <row r="410" spans="1:45">
      <c r="A410" s="3"/>
      <c r="B410" s="3"/>
      <c r="C410" s="3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/>
      <c r="AK410"/>
      <c r="AL410"/>
      <c r="AM410"/>
      <c r="AN410"/>
      <c r="AO410"/>
      <c r="AP410"/>
      <c r="AQ410"/>
      <c r="AR410"/>
      <c r="AS410"/>
    </row>
    <row r="411" spans="1:45">
      <c r="A411" s="3"/>
      <c r="B411" s="3"/>
      <c r="C411" s="3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/>
      <c r="AK411"/>
      <c r="AL411"/>
      <c r="AM411"/>
      <c r="AN411"/>
      <c r="AO411"/>
      <c r="AP411"/>
      <c r="AQ411"/>
      <c r="AR411"/>
      <c r="AS411"/>
    </row>
    <row r="412" spans="1:45">
      <c r="A412" s="3"/>
      <c r="B412" s="3"/>
      <c r="C412" s="3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/>
      <c r="AK412"/>
      <c r="AL412"/>
      <c r="AM412"/>
      <c r="AN412"/>
      <c r="AO412"/>
      <c r="AP412"/>
      <c r="AQ412"/>
      <c r="AR412"/>
      <c r="AS412"/>
    </row>
    <row r="413" spans="1:45">
      <c r="A413" s="3"/>
      <c r="B413" s="3"/>
      <c r="C413" s="3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/>
      <c r="AK413"/>
      <c r="AL413"/>
      <c r="AM413"/>
      <c r="AN413"/>
      <c r="AO413"/>
      <c r="AP413"/>
      <c r="AQ413"/>
      <c r="AR413"/>
      <c r="AS413"/>
    </row>
    <row r="414" spans="1:45">
      <c r="A414" s="3"/>
      <c r="B414" s="3"/>
      <c r="C414" s="3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/>
      <c r="AK414"/>
      <c r="AL414"/>
      <c r="AM414"/>
      <c r="AN414"/>
      <c r="AO414"/>
      <c r="AP414"/>
      <c r="AQ414"/>
      <c r="AR414"/>
      <c r="AS414"/>
    </row>
    <row r="415" spans="1:45">
      <c r="A415" s="3"/>
      <c r="B415" s="3"/>
      <c r="C415" s="3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/>
      <c r="AK415"/>
      <c r="AL415"/>
      <c r="AM415"/>
      <c r="AN415"/>
      <c r="AO415"/>
      <c r="AP415"/>
      <c r="AQ415"/>
      <c r="AR415"/>
      <c r="AS415"/>
    </row>
    <row r="416" spans="1:45">
      <c r="A416" s="3"/>
      <c r="B416" s="3"/>
      <c r="C416" s="3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/>
      <c r="AK416"/>
      <c r="AL416"/>
      <c r="AM416"/>
      <c r="AN416"/>
      <c r="AO416"/>
      <c r="AP416"/>
      <c r="AQ416"/>
      <c r="AR416"/>
      <c r="AS416"/>
    </row>
    <row r="417" spans="1:45">
      <c r="A417" s="3"/>
      <c r="B417" s="3"/>
      <c r="C417" s="3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/>
      <c r="AK417"/>
      <c r="AL417"/>
      <c r="AM417"/>
      <c r="AN417"/>
      <c r="AO417"/>
      <c r="AP417"/>
      <c r="AQ417"/>
      <c r="AR417"/>
      <c r="AS417"/>
    </row>
    <row r="418" spans="1:45">
      <c r="A418" s="3"/>
      <c r="B418" s="3"/>
      <c r="C418" s="3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/>
      <c r="AK418"/>
      <c r="AL418"/>
      <c r="AM418"/>
      <c r="AN418"/>
      <c r="AO418"/>
      <c r="AP418"/>
      <c r="AQ418"/>
      <c r="AR418"/>
      <c r="AS418"/>
    </row>
    <row r="419" spans="1:45">
      <c r="A419" s="3"/>
      <c r="B419" s="3"/>
      <c r="C419" s="3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/>
      <c r="AK419"/>
      <c r="AL419"/>
      <c r="AM419"/>
      <c r="AN419"/>
      <c r="AO419"/>
      <c r="AP419"/>
      <c r="AQ419"/>
      <c r="AR419"/>
      <c r="AS419"/>
    </row>
    <row r="420" spans="1:45">
      <c r="A420" s="3"/>
      <c r="B420" s="3"/>
      <c r="C420" s="3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/>
      <c r="AK420"/>
      <c r="AL420"/>
      <c r="AM420"/>
      <c r="AN420"/>
      <c r="AO420"/>
      <c r="AP420"/>
      <c r="AQ420"/>
      <c r="AR420"/>
      <c r="AS420"/>
    </row>
    <row r="421" spans="1:45">
      <c r="A421" s="3"/>
      <c r="B421" s="3"/>
      <c r="C421" s="3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/>
      <c r="AK421"/>
      <c r="AL421"/>
      <c r="AM421"/>
      <c r="AN421"/>
      <c r="AO421"/>
      <c r="AP421"/>
      <c r="AQ421"/>
      <c r="AR421"/>
      <c r="AS421"/>
    </row>
    <row r="422" spans="1:45">
      <c r="A422" s="3"/>
      <c r="B422" s="3"/>
      <c r="C422" s="3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/>
      <c r="AK422"/>
      <c r="AL422"/>
      <c r="AM422"/>
      <c r="AN422"/>
      <c r="AO422"/>
      <c r="AP422"/>
      <c r="AQ422"/>
      <c r="AR422"/>
      <c r="AS422"/>
    </row>
    <row r="423" spans="1:45">
      <c r="A423" s="3"/>
      <c r="B423" s="3"/>
      <c r="C423" s="3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/>
      <c r="AK423"/>
      <c r="AL423"/>
      <c r="AM423"/>
      <c r="AN423"/>
      <c r="AO423"/>
      <c r="AP423"/>
      <c r="AQ423"/>
      <c r="AR423"/>
      <c r="AS423"/>
    </row>
    <row r="424" spans="1:45">
      <c r="A424" s="3"/>
      <c r="B424" s="3"/>
      <c r="C424" s="3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/>
      <c r="AK424"/>
      <c r="AL424"/>
      <c r="AM424"/>
      <c r="AN424"/>
      <c r="AO424"/>
      <c r="AP424"/>
      <c r="AQ424"/>
      <c r="AR424"/>
      <c r="AS424"/>
    </row>
    <row r="425" spans="1:45">
      <c r="A425" s="3"/>
      <c r="B425" s="3"/>
      <c r="C425" s="3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/>
      <c r="AK425"/>
      <c r="AL425"/>
      <c r="AM425"/>
      <c r="AN425"/>
      <c r="AO425"/>
      <c r="AP425"/>
      <c r="AQ425"/>
      <c r="AR425"/>
      <c r="AS425"/>
    </row>
    <row r="426" spans="1:45">
      <c r="A426" s="3"/>
      <c r="B426" s="3"/>
      <c r="C426" s="3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/>
      <c r="AK426"/>
      <c r="AL426"/>
      <c r="AM426"/>
      <c r="AN426"/>
      <c r="AO426"/>
      <c r="AP426"/>
      <c r="AQ426"/>
      <c r="AR426"/>
      <c r="AS426"/>
    </row>
    <row r="427" spans="1:45">
      <c r="A427" s="3"/>
      <c r="B427" s="3"/>
      <c r="C427" s="3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/>
      <c r="AK427"/>
      <c r="AL427"/>
      <c r="AM427"/>
      <c r="AN427"/>
      <c r="AO427"/>
      <c r="AP427"/>
      <c r="AQ427"/>
      <c r="AR427"/>
      <c r="AS427"/>
    </row>
    <row r="428" spans="1:45">
      <c r="A428" s="3"/>
      <c r="B428" s="3"/>
      <c r="C428" s="3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/>
      <c r="AK428"/>
      <c r="AL428"/>
      <c r="AM428"/>
      <c r="AN428"/>
      <c r="AO428"/>
      <c r="AP428"/>
      <c r="AQ428"/>
      <c r="AR428"/>
      <c r="AS428"/>
    </row>
    <row r="429" spans="1:45">
      <c r="A429" s="3"/>
      <c r="B429" s="3"/>
      <c r="C429" s="3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/>
      <c r="AK429"/>
      <c r="AL429"/>
      <c r="AM429"/>
      <c r="AN429"/>
      <c r="AO429"/>
      <c r="AP429"/>
      <c r="AQ429"/>
      <c r="AR429"/>
      <c r="AS429"/>
    </row>
    <row r="430" spans="1:45">
      <c r="A430" s="3"/>
      <c r="B430" s="3"/>
      <c r="C430" s="3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/>
      <c r="AK430"/>
      <c r="AL430"/>
      <c r="AM430"/>
      <c r="AN430"/>
      <c r="AO430"/>
      <c r="AP430"/>
      <c r="AQ430"/>
      <c r="AR430"/>
      <c r="AS430"/>
    </row>
    <row r="431" spans="1:45">
      <c r="A431" s="3"/>
      <c r="B431" s="3"/>
      <c r="C431" s="3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/>
      <c r="AK431"/>
      <c r="AL431"/>
      <c r="AM431"/>
      <c r="AN431"/>
      <c r="AO431"/>
      <c r="AP431"/>
      <c r="AQ431"/>
      <c r="AR431"/>
      <c r="AS431"/>
    </row>
    <row r="432" spans="1:45">
      <c r="A432" s="3"/>
      <c r="B432" s="3"/>
      <c r="C432" s="3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/>
      <c r="AK432"/>
      <c r="AL432"/>
      <c r="AM432"/>
      <c r="AN432"/>
      <c r="AO432"/>
      <c r="AP432"/>
      <c r="AQ432"/>
      <c r="AR432"/>
      <c r="AS432"/>
    </row>
    <row r="433" spans="1:45">
      <c r="A433" s="3"/>
      <c r="B433" s="3"/>
      <c r="C433" s="3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/>
      <c r="AK433"/>
      <c r="AL433"/>
      <c r="AM433"/>
      <c r="AN433"/>
      <c r="AO433"/>
      <c r="AP433"/>
      <c r="AQ433"/>
      <c r="AR433"/>
      <c r="AS433"/>
    </row>
    <row r="434" spans="1:45">
      <c r="A434" s="3"/>
      <c r="B434" s="3"/>
      <c r="C434" s="3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/>
      <c r="AK434"/>
      <c r="AL434"/>
      <c r="AM434"/>
      <c r="AN434"/>
      <c r="AO434"/>
      <c r="AP434"/>
      <c r="AQ434"/>
      <c r="AR434"/>
      <c r="AS434"/>
    </row>
    <row r="435" spans="1:45">
      <c r="A435" s="3"/>
      <c r="B435" s="3"/>
      <c r="C435" s="3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/>
      <c r="AK435"/>
      <c r="AL435"/>
      <c r="AM435"/>
      <c r="AN435"/>
      <c r="AO435"/>
      <c r="AP435"/>
      <c r="AQ435"/>
      <c r="AR435"/>
      <c r="AS435"/>
    </row>
    <row r="436" spans="1:45">
      <c r="A436" s="3"/>
      <c r="B436" s="3"/>
      <c r="C436" s="3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/>
      <c r="AK436"/>
      <c r="AL436"/>
      <c r="AM436"/>
      <c r="AN436"/>
      <c r="AO436"/>
      <c r="AP436"/>
      <c r="AQ436"/>
      <c r="AR436"/>
      <c r="AS436"/>
    </row>
    <row r="437" spans="1:45">
      <c r="A437" s="3"/>
      <c r="B437" s="3"/>
      <c r="C437" s="3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/>
      <c r="AK437"/>
      <c r="AL437"/>
      <c r="AM437"/>
      <c r="AN437"/>
      <c r="AO437"/>
      <c r="AP437"/>
      <c r="AQ437"/>
      <c r="AR437"/>
      <c r="AS437"/>
    </row>
    <row r="438" spans="1:45">
      <c r="A438" s="3"/>
      <c r="B438" s="3"/>
      <c r="C438" s="3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/>
      <c r="AK438"/>
      <c r="AL438"/>
      <c r="AM438"/>
      <c r="AN438"/>
      <c r="AO438"/>
      <c r="AP438"/>
      <c r="AQ438"/>
      <c r="AR438"/>
      <c r="AS438"/>
    </row>
    <row r="439" spans="1:45">
      <c r="A439" s="3"/>
      <c r="B439" s="3"/>
      <c r="C439" s="3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/>
      <c r="AK439"/>
      <c r="AL439"/>
      <c r="AM439"/>
      <c r="AN439"/>
      <c r="AO439"/>
      <c r="AP439"/>
      <c r="AQ439"/>
      <c r="AR439"/>
      <c r="AS439"/>
    </row>
    <row r="440" spans="1:45">
      <c r="A440" s="3"/>
      <c r="B440" s="3"/>
      <c r="C440" s="3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/>
      <c r="AK440"/>
      <c r="AL440"/>
      <c r="AM440"/>
      <c r="AN440"/>
      <c r="AO440"/>
      <c r="AP440"/>
      <c r="AQ440"/>
      <c r="AR440"/>
      <c r="AS440"/>
    </row>
    <row r="441" spans="1:45">
      <c r="A441" s="3"/>
      <c r="B441" s="3"/>
      <c r="C441" s="3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/>
      <c r="AK441"/>
      <c r="AL441"/>
      <c r="AM441"/>
      <c r="AN441"/>
      <c r="AO441"/>
      <c r="AP441"/>
      <c r="AQ441"/>
      <c r="AR441"/>
      <c r="AS441"/>
    </row>
    <row r="442" spans="1:45">
      <c r="A442" s="3"/>
      <c r="B442" s="3"/>
      <c r="C442" s="3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/>
      <c r="AK442"/>
      <c r="AL442"/>
      <c r="AM442"/>
      <c r="AN442"/>
      <c r="AO442"/>
      <c r="AP442"/>
      <c r="AQ442"/>
      <c r="AR442"/>
      <c r="AS442"/>
    </row>
    <row r="443" spans="1:45">
      <c r="A443" s="3"/>
      <c r="B443" s="3"/>
      <c r="C443" s="3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/>
      <c r="AK443"/>
      <c r="AL443"/>
      <c r="AM443"/>
      <c r="AN443"/>
      <c r="AO443"/>
      <c r="AP443"/>
      <c r="AQ443"/>
      <c r="AR443"/>
      <c r="AS443"/>
    </row>
    <row r="444" spans="1:45">
      <c r="A444" s="3"/>
      <c r="B444" s="3"/>
      <c r="C444" s="3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/>
      <c r="AK444"/>
      <c r="AL444"/>
      <c r="AM444"/>
      <c r="AN444"/>
      <c r="AO444"/>
      <c r="AP444"/>
      <c r="AQ444"/>
      <c r="AR444"/>
      <c r="AS444"/>
    </row>
    <row r="445" spans="1:45">
      <c r="A445" s="3"/>
      <c r="B445" s="3"/>
      <c r="C445" s="3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/>
      <c r="AK445"/>
      <c r="AL445"/>
      <c r="AM445"/>
      <c r="AN445"/>
      <c r="AO445"/>
      <c r="AP445"/>
      <c r="AQ445"/>
      <c r="AR445"/>
      <c r="AS445"/>
    </row>
    <row r="446" spans="1:45">
      <c r="A446" s="3"/>
      <c r="B446" s="3"/>
      <c r="C446" s="3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/>
      <c r="AK446"/>
      <c r="AL446"/>
      <c r="AM446"/>
      <c r="AN446"/>
      <c r="AO446"/>
      <c r="AP446"/>
      <c r="AQ446"/>
      <c r="AR446"/>
      <c r="AS446"/>
    </row>
    <row r="447" spans="1:45">
      <c r="A447" s="3"/>
      <c r="B447" s="3"/>
      <c r="C447" s="3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/>
      <c r="AK447"/>
      <c r="AL447"/>
      <c r="AM447"/>
      <c r="AN447"/>
      <c r="AO447"/>
      <c r="AP447"/>
      <c r="AQ447"/>
      <c r="AR447"/>
      <c r="AS447"/>
    </row>
    <row r="448" spans="1:45">
      <c r="A448" s="3"/>
      <c r="B448" s="3"/>
      <c r="C448" s="3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/>
      <c r="AK448"/>
      <c r="AL448"/>
      <c r="AM448"/>
      <c r="AN448"/>
      <c r="AO448"/>
      <c r="AP448"/>
      <c r="AQ448"/>
      <c r="AR448"/>
      <c r="AS448"/>
    </row>
    <row r="449" spans="1:45">
      <c r="A449" s="3"/>
      <c r="B449" s="3"/>
      <c r="C449" s="3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/>
      <c r="AK449"/>
      <c r="AL449"/>
      <c r="AM449"/>
      <c r="AN449"/>
      <c r="AO449"/>
      <c r="AP449"/>
      <c r="AQ449"/>
      <c r="AR449"/>
      <c r="AS449"/>
    </row>
    <row r="450" spans="1:45">
      <c r="A450" s="3"/>
      <c r="B450" s="3"/>
      <c r="C450" s="3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/>
      <c r="AK450"/>
      <c r="AL450"/>
      <c r="AM450"/>
      <c r="AN450"/>
      <c r="AO450"/>
      <c r="AP450"/>
      <c r="AQ450"/>
      <c r="AR450"/>
      <c r="AS450"/>
    </row>
    <row r="451" spans="1:45">
      <c r="A451" s="3"/>
      <c r="B451" s="3"/>
      <c r="C451" s="3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/>
      <c r="AK451"/>
      <c r="AL451"/>
      <c r="AM451"/>
      <c r="AN451"/>
      <c r="AO451"/>
      <c r="AP451"/>
      <c r="AQ451"/>
      <c r="AR451"/>
      <c r="AS451"/>
    </row>
    <row r="452" spans="1:45">
      <c r="A452" s="3"/>
      <c r="B452" s="3"/>
      <c r="C452" s="3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/>
      <c r="AK452"/>
      <c r="AL452"/>
      <c r="AM452"/>
      <c r="AN452"/>
      <c r="AO452"/>
      <c r="AP452"/>
      <c r="AQ452"/>
      <c r="AR452"/>
      <c r="AS452"/>
    </row>
    <row r="453" spans="1:45">
      <c r="A453" s="3"/>
      <c r="B453" s="3"/>
      <c r="C453" s="3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/>
      <c r="AK453"/>
      <c r="AL453"/>
      <c r="AM453"/>
      <c r="AN453"/>
      <c r="AO453"/>
      <c r="AP453"/>
      <c r="AQ453"/>
      <c r="AR453"/>
      <c r="AS453"/>
    </row>
    <row r="454" spans="1:45">
      <c r="A454" s="3"/>
      <c r="B454" s="3"/>
      <c r="C454" s="3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/>
      <c r="AK454"/>
      <c r="AL454"/>
      <c r="AM454"/>
      <c r="AN454"/>
      <c r="AO454"/>
      <c r="AP454"/>
      <c r="AQ454"/>
      <c r="AR454"/>
      <c r="AS454"/>
    </row>
    <row r="455" spans="1:45">
      <c r="A455" s="3"/>
      <c r="B455" s="3"/>
      <c r="C455" s="3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/>
      <c r="AK455"/>
      <c r="AL455"/>
      <c r="AM455"/>
      <c r="AN455"/>
      <c r="AO455"/>
      <c r="AP455"/>
      <c r="AQ455"/>
      <c r="AR455"/>
      <c r="AS455"/>
    </row>
    <row r="456" spans="1:45">
      <c r="A456" s="3"/>
      <c r="B456" s="3"/>
      <c r="C456" s="3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/>
      <c r="AK456"/>
      <c r="AL456"/>
      <c r="AM456"/>
      <c r="AN456"/>
      <c r="AO456"/>
      <c r="AP456"/>
      <c r="AQ456"/>
      <c r="AR456"/>
      <c r="AS456"/>
    </row>
    <row r="457" spans="1:45">
      <c r="A457" s="3"/>
      <c r="B457" s="3"/>
      <c r="C457" s="3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/>
      <c r="AK457"/>
      <c r="AL457"/>
      <c r="AM457"/>
      <c r="AN457"/>
      <c r="AO457"/>
      <c r="AP457"/>
      <c r="AQ457"/>
      <c r="AR457"/>
      <c r="AS457"/>
    </row>
    <row r="458" spans="1:45">
      <c r="A458" s="3"/>
      <c r="B458" s="3"/>
      <c r="C458" s="3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/>
      <c r="AK458"/>
      <c r="AL458"/>
      <c r="AM458"/>
      <c r="AN458"/>
      <c r="AO458"/>
      <c r="AP458"/>
      <c r="AQ458"/>
      <c r="AR458"/>
      <c r="AS458"/>
    </row>
    <row r="459" spans="1:45">
      <c r="A459" s="3"/>
      <c r="B459" s="3"/>
      <c r="C459" s="3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/>
      <c r="AK459"/>
      <c r="AL459"/>
      <c r="AM459"/>
      <c r="AN459"/>
      <c r="AO459"/>
      <c r="AP459"/>
      <c r="AQ459"/>
      <c r="AR459"/>
      <c r="AS459"/>
    </row>
    <row r="460" spans="1:45">
      <c r="A460" s="3"/>
      <c r="B460" s="3"/>
      <c r="C460" s="3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/>
      <c r="AK460"/>
      <c r="AL460"/>
      <c r="AM460"/>
      <c r="AN460"/>
      <c r="AO460"/>
      <c r="AP460"/>
      <c r="AQ460"/>
      <c r="AR460"/>
      <c r="AS460"/>
    </row>
    <row r="461" spans="1:45">
      <c r="A461" s="3"/>
      <c r="B461" s="3"/>
      <c r="C461" s="3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/>
      <c r="AK461"/>
      <c r="AL461"/>
      <c r="AM461"/>
      <c r="AN461"/>
      <c r="AO461"/>
      <c r="AP461"/>
      <c r="AQ461"/>
      <c r="AR461"/>
      <c r="AS461"/>
    </row>
    <row r="462" spans="1:45">
      <c r="A462" s="3"/>
      <c r="B462" s="3"/>
      <c r="C462" s="3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/>
      <c r="AK462"/>
      <c r="AL462"/>
      <c r="AM462"/>
      <c r="AN462"/>
      <c r="AO462"/>
      <c r="AP462"/>
      <c r="AQ462"/>
      <c r="AR462"/>
      <c r="AS462"/>
    </row>
    <row r="463" spans="1:45">
      <c r="A463" s="3"/>
      <c r="B463" s="3"/>
      <c r="C463" s="3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/>
      <c r="AK463"/>
      <c r="AL463"/>
      <c r="AM463"/>
      <c r="AN463"/>
      <c r="AO463"/>
      <c r="AP463"/>
      <c r="AQ463"/>
      <c r="AR463"/>
      <c r="AS463"/>
    </row>
    <row r="464" spans="1:45">
      <c r="A464" s="3"/>
      <c r="B464" s="3"/>
      <c r="C464" s="3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/>
      <c r="AK464"/>
      <c r="AL464"/>
      <c r="AM464"/>
      <c r="AN464"/>
      <c r="AO464"/>
      <c r="AP464"/>
      <c r="AQ464"/>
      <c r="AR464"/>
      <c r="AS464"/>
    </row>
    <row r="465" spans="1:45">
      <c r="A465" s="3"/>
      <c r="B465" s="3"/>
      <c r="C465" s="3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/>
      <c r="AK465"/>
      <c r="AL465"/>
      <c r="AM465"/>
      <c r="AN465"/>
      <c r="AO465"/>
      <c r="AP465"/>
      <c r="AQ465"/>
      <c r="AR465"/>
      <c r="AS465"/>
    </row>
    <row r="466" spans="1:45">
      <c r="A466" s="3"/>
      <c r="B466" s="3"/>
      <c r="C466" s="3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/>
      <c r="AK466"/>
      <c r="AL466"/>
      <c r="AM466"/>
      <c r="AN466"/>
      <c r="AO466"/>
      <c r="AP466"/>
      <c r="AQ466"/>
      <c r="AR466"/>
      <c r="AS466"/>
    </row>
    <row r="467" spans="1:45">
      <c r="A467" s="3"/>
      <c r="B467" s="3"/>
      <c r="C467" s="3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/>
      <c r="AK467"/>
      <c r="AL467"/>
      <c r="AM467"/>
      <c r="AN467"/>
      <c r="AO467"/>
      <c r="AP467"/>
      <c r="AQ467"/>
      <c r="AR467"/>
      <c r="AS467"/>
    </row>
    <row r="468" spans="1:45">
      <c r="A468" s="3"/>
      <c r="B468" s="3"/>
      <c r="C468" s="3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/>
      <c r="AK468"/>
      <c r="AL468"/>
      <c r="AM468"/>
      <c r="AN468"/>
      <c r="AO468"/>
      <c r="AP468"/>
      <c r="AQ468"/>
      <c r="AR468"/>
      <c r="AS468"/>
    </row>
    <row r="469" spans="1:45">
      <c r="A469" s="3"/>
      <c r="B469" s="3"/>
      <c r="C469" s="3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/>
      <c r="AK469"/>
      <c r="AL469"/>
      <c r="AM469"/>
      <c r="AN469"/>
      <c r="AO469"/>
      <c r="AP469"/>
      <c r="AQ469"/>
      <c r="AR469"/>
      <c r="AS469"/>
    </row>
    <row r="470" spans="1:45">
      <c r="A470" s="3"/>
      <c r="B470" s="3"/>
      <c r="C470" s="3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/>
      <c r="AK470"/>
      <c r="AL470"/>
      <c r="AM470"/>
      <c r="AN470"/>
      <c r="AO470"/>
      <c r="AP470"/>
      <c r="AQ470"/>
      <c r="AR470"/>
      <c r="AS470"/>
    </row>
    <row r="471" spans="1:45">
      <c r="A471" s="3"/>
      <c r="B471" s="3"/>
      <c r="C471" s="3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/>
      <c r="AK471"/>
      <c r="AL471"/>
      <c r="AM471"/>
      <c r="AN471"/>
      <c r="AO471"/>
      <c r="AP471"/>
      <c r="AQ471"/>
      <c r="AR471"/>
      <c r="AS471"/>
    </row>
    <row r="472" spans="1:45">
      <c r="A472" s="3"/>
      <c r="B472" s="3"/>
      <c r="C472" s="3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/>
      <c r="AK472"/>
      <c r="AL472"/>
      <c r="AM472"/>
      <c r="AN472"/>
      <c r="AO472"/>
      <c r="AP472"/>
      <c r="AQ472"/>
      <c r="AR472"/>
      <c r="AS472"/>
    </row>
    <row r="473" spans="1:45">
      <c r="A473" s="3"/>
      <c r="B473" s="3"/>
      <c r="C473" s="3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/>
      <c r="AK473"/>
      <c r="AL473"/>
      <c r="AM473"/>
      <c r="AN473"/>
      <c r="AO473"/>
      <c r="AP473"/>
      <c r="AQ473"/>
      <c r="AR473"/>
      <c r="AS473"/>
    </row>
    <row r="474" spans="1:45">
      <c r="A474" s="3"/>
      <c r="B474" s="3"/>
      <c r="C474" s="3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/>
      <c r="AK474"/>
      <c r="AL474"/>
      <c r="AM474"/>
      <c r="AN474"/>
      <c r="AO474"/>
      <c r="AP474"/>
      <c r="AQ474"/>
      <c r="AR474"/>
      <c r="AS474"/>
    </row>
    <row r="475" spans="1:45">
      <c r="A475" s="3"/>
      <c r="B475" s="3"/>
      <c r="C475" s="3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/>
      <c r="AK475"/>
      <c r="AL475"/>
      <c r="AM475"/>
      <c r="AN475"/>
      <c r="AO475"/>
      <c r="AP475"/>
      <c r="AQ475"/>
      <c r="AR475"/>
      <c r="AS475"/>
    </row>
    <row r="476" spans="1:45">
      <c r="A476" s="3"/>
      <c r="B476" s="3"/>
      <c r="C476" s="3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/>
      <c r="AK476"/>
      <c r="AL476"/>
      <c r="AM476"/>
      <c r="AN476"/>
      <c r="AO476"/>
      <c r="AP476"/>
      <c r="AQ476"/>
      <c r="AR476"/>
      <c r="AS476"/>
    </row>
    <row r="477" spans="1:45">
      <c r="A477" s="3"/>
      <c r="B477" s="3"/>
      <c r="C477" s="3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/>
      <c r="AK477"/>
      <c r="AL477"/>
      <c r="AM477"/>
      <c r="AN477"/>
      <c r="AO477"/>
      <c r="AP477"/>
      <c r="AQ477"/>
      <c r="AR477"/>
      <c r="AS477"/>
    </row>
    <row r="478" spans="1:45">
      <c r="A478" s="3"/>
      <c r="B478" s="3"/>
      <c r="C478" s="3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/>
      <c r="AK478"/>
      <c r="AL478"/>
      <c r="AM478"/>
      <c r="AN478"/>
      <c r="AO478"/>
      <c r="AP478"/>
      <c r="AQ478"/>
      <c r="AR478"/>
      <c r="AS478"/>
    </row>
    <row r="479" spans="1:45">
      <c r="A479" s="3"/>
      <c r="B479" s="3"/>
      <c r="C479" s="3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/>
      <c r="AK479"/>
      <c r="AL479"/>
      <c r="AM479"/>
      <c r="AN479"/>
      <c r="AO479"/>
      <c r="AP479"/>
      <c r="AQ479"/>
      <c r="AR479"/>
      <c r="AS479"/>
    </row>
    <row r="480" spans="1:45">
      <c r="A480" s="3"/>
      <c r="B480" s="3"/>
      <c r="C480" s="3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/>
      <c r="AK480"/>
      <c r="AL480"/>
      <c r="AM480"/>
      <c r="AN480"/>
      <c r="AO480"/>
      <c r="AP480"/>
      <c r="AQ480"/>
      <c r="AR480"/>
      <c r="AS480"/>
    </row>
    <row r="481" spans="1:45">
      <c r="A481" s="3"/>
      <c r="B481" s="3"/>
      <c r="C481" s="3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/>
      <c r="AK481"/>
      <c r="AL481"/>
      <c r="AM481"/>
      <c r="AN481"/>
      <c r="AO481"/>
      <c r="AP481"/>
      <c r="AQ481"/>
      <c r="AR481"/>
      <c r="AS481"/>
    </row>
    <row r="482" spans="1:45">
      <c r="A482" s="3"/>
      <c r="B482" s="3"/>
      <c r="C482" s="3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/>
      <c r="AK482"/>
      <c r="AL482"/>
      <c r="AM482"/>
      <c r="AN482"/>
      <c r="AO482"/>
      <c r="AP482"/>
      <c r="AQ482"/>
      <c r="AR482"/>
      <c r="AS482"/>
    </row>
    <row r="483" spans="1:45">
      <c r="A483" s="3"/>
      <c r="B483" s="3"/>
      <c r="C483" s="3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/>
      <c r="AK483"/>
      <c r="AL483"/>
      <c r="AM483"/>
      <c r="AN483"/>
      <c r="AO483"/>
      <c r="AP483"/>
      <c r="AQ483"/>
      <c r="AR483"/>
      <c r="AS483"/>
    </row>
    <row r="484" spans="1:45">
      <c r="A484" s="3"/>
      <c r="B484" s="3"/>
      <c r="C484" s="3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/>
      <c r="AK484"/>
      <c r="AL484"/>
      <c r="AM484"/>
      <c r="AN484"/>
      <c r="AO484"/>
      <c r="AP484"/>
      <c r="AQ484"/>
      <c r="AR484"/>
      <c r="AS484"/>
    </row>
    <row r="485" spans="1:45">
      <c r="A485" s="3"/>
      <c r="B485" s="3"/>
      <c r="C485" s="3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/>
      <c r="AK485"/>
      <c r="AL485"/>
      <c r="AM485"/>
      <c r="AN485"/>
      <c r="AO485"/>
      <c r="AP485"/>
      <c r="AQ485"/>
      <c r="AR485"/>
      <c r="AS485"/>
    </row>
    <row r="486" spans="1:45">
      <c r="A486" s="3"/>
      <c r="B486" s="3"/>
      <c r="C486" s="3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/>
      <c r="AK486"/>
      <c r="AL486"/>
      <c r="AM486"/>
      <c r="AN486"/>
      <c r="AO486"/>
      <c r="AP486"/>
      <c r="AQ486"/>
      <c r="AR486"/>
      <c r="AS486"/>
    </row>
    <row r="487" spans="1:45">
      <c r="A487" s="3"/>
      <c r="B487" s="3"/>
      <c r="C487" s="3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/>
      <c r="AK487"/>
      <c r="AL487"/>
      <c r="AM487"/>
      <c r="AN487"/>
      <c r="AO487"/>
      <c r="AP487"/>
      <c r="AQ487"/>
      <c r="AR487"/>
      <c r="AS487"/>
    </row>
    <row r="488" spans="1:45">
      <c r="A488" s="3"/>
      <c r="B488" s="3"/>
      <c r="C488" s="3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/>
      <c r="AK488"/>
      <c r="AL488"/>
      <c r="AM488"/>
      <c r="AN488"/>
      <c r="AO488"/>
      <c r="AP488"/>
      <c r="AQ488"/>
      <c r="AR488"/>
      <c r="AS488"/>
    </row>
    <row r="489" spans="1:45">
      <c r="A489" s="3"/>
      <c r="B489" s="3"/>
      <c r="C489" s="3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/>
      <c r="AK489"/>
      <c r="AL489"/>
      <c r="AM489"/>
      <c r="AN489"/>
      <c r="AO489"/>
      <c r="AP489"/>
      <c r="AQ489"/>
      <c r="AR489"/>
      <c r="AS489"/>
    </row>
    <row r="490" spans="1:45">
      <c r="A490" s="3"/>
      <c r="B490" s="3"/>
      <c r="C490" s="3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/>
      <c r="AK490"/>
      <c r="AL490"/>
      <c r="AM490"/>
      <c r="AN490"/>
      <c r="AO490"/>
      <c r="AP490"/>
      <c r="AQ490"/>
      <c r="AR490"/>
      <c r="AS490"/>
    </row>
    <row r="491" spans="1:45">
      <c r="A491" s="3"/>
      <c r="B491" s="3"/>
      <c r="C491" s="3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/>
      <c r="AK491"/>
      <c r="AL491"/>
      <c r="AM491"/>
      <c r="AN491"/>
      <c r="AO491"/>
      <c r="AP491"/>
      <c r="AQ491"/>
      <c r="AR491"/>
      <c r="AS491"/>
    </row>
    <row r="492" spans="1:45">
      <c r="A492" s="3"/>
      <c r="B492" s="3"/>
      <c r="C492" s="3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/>
      <c r="AK492"/>
      <c r="AL492"/>
      <c r="AM492"/>
      <c r="AN492"/>
      <c r="AO492"/>
      <c r="AP492"/>
      <c r="AQ492"/>
      <c r="AR492"/>
      <c r="AS492"/>
    </row>
    <row r="493" spans="1:45">
      <c r="A493" s="3"/>
      <c r="B493" s="3"/>
      <c r="C493" s="3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/>
      <c r="AK493"/>
      <c r="AL493"/>
      <c r="AM493"/>
      <c r="AN493"/>
      <c r="AO493"/>
      <c r="AP493"/>
      <c r="AQ493"/>
      <c r="AR493"/>
      <c r="AS493"/>
    </row>
    <row r="494" spans="1:45">
      <c r="A494" s="3"/>
      <c r="B494" s="3"/>
      <c r="C494" s="3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/>
      <c r="AK494"/>
      <c r="AL494"/>
      <c r="AM494"/>
      <c r="AN494"/>
      <c r="AO494"/>
      <c r="AP494"/>
      <c r="AQ494"/>
      <c r="AR494"/>
      <c r="AS494"/>
    </row>
    <row r="495" spans="1:45">
      <c r="A495" s="3"/>
      <c r="B495" s="3"/>
      <c r="C495" s="3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/>
      <c r="AK495"/>
      <c r="AL495"/>
      <c r="AM495"/>
      <c r="AN495"/>
      <c r="AO495"/>
      <c r="AP495"/>
      <c r="AQ495"/>
      <c r="AR495"/>
      <c r="AS495"/>
    </row>
    <row r="496" spans="1:45">
      <c r="A496" s="3"/>
      <c r="B496" s="3"/>
      <c r="C496" s="3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/>
      <c r="AK496"/>
      <c r="AL496"/>
      <c r="AM496"/>
      <c r="AN496"/>
      <c r="AO496"/>
      <c r="AP496"/>
      <c r="AQ496"/>
      <c r="AR496"/>
      <c r="AS496"/>
    </row>
    <row r="497" spans="1:45">
      <c r="A497" s="3"/>
      <c r="B497" s="3"/>
      <c r="C497" s="3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/>
      <c r="AK497"/>
      <c r="AL497"/>
      <c r="AM497"/>
      <c r="AN497"/>
      <c r="AO497"/>
      <c r="AP497"/>
      <c r="AQ497"/>
      <c r="AR497"/>
      <c r="AS497"/>
    </row>
    <row r="498" spans="1:45">
      <c r="A498" s="3"/>
      <c r="B498" s="3"/>
      <c r="C498" s="3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/>
      <c r="AK498"/>
      <c r="AL498"/>
      <c r="AM498"/>
      <c r="AN498"/>
      <c r="AO498"/>
      <c r="AP498"/>
      <c r="AQ498"/>
      <c r="AR498"/>
      <c r="AS498"/>
    </row>
    <row r="499" spans="1:45">
      <c r="A499" s="3"/>
      <c r="B499" s="3"/>
      <c r="C499" s="3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/>
      <c r="AK499"/>
      <c r="AL499"/>
      <c r="AM499"/>
      <c r="AN499"/>
      <c r="AO499"/>
      <c r="AP499"/>
      <c r="AQ499"/>
      <c r="AR499"/>
      <c r="AS499"/>
    </row>
    <row r="500" spans="1:45">
      <c r="A500" s="3"/>
      <c r="B500" s="3"/>
      <c r="C500" s="3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/>
      <c r="AK500"/>
      <c r="AL500"/>
      <c r="AM500"/>
      <c r="AN500"/>
      <c r="AO500"/>
      <c r="AP500"/>
      <c r="AQ500"/>
      <c r="AR500"/>
      <c r="AS500"/>
    </row>
    <row r="501" spans="1:45">
      <c r="A501" s="3"/>
      <c r="B501" s="3"/>
      <c r="C501" s="3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/>
      <c r="AK501"/>
      <c r="AL501"/>
      <c r="AM501"/>
      <c r="AN501"/>
      <c r="AO501"/>
      <c r="AP501"/>
      <c r="AQ501"/>
      <c r="AR501"/>
      <c r="AS501"/>
    </row>
    <row r="502" spans="1:45">
      <c r="A502" s="3"/>
      <c r="B502" s="3"/>
      <c r="C502" s="3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/>
      <c r="AK502"/>
      <c r="AL502"/>
      <c r="AM502"/>
      <c r="AN502"/>
      <c r="AO502"/>
      <c r="AP502"/>
      <c r="AQ502"/>
      <c r="AR502"/>
      <c r="AS502"/>
    </row>
    <row r="503" spans="1:45">
      <c r="A503" s="3"/>
      <c r="B503" s="3"/>
      <c r="C503" s="3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/>
      <c r="AK503"/>
      <c r="AL503"/>
      <c r="AM503"/>
      <c r="AN503"/>
      <c r="AO503"/>
      <c r="AP503"/>
      <c r="AQ503"/>
      <c r="AR503"/>
      <c r="AS503"/>
    </row>
    <row r="504" spans="1:45">
      <c r="A504" s="3"/>
      <c r="B504" s="3"/>
      <c r="C504" s="3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/>
      <c r="AK504"/>
      <c r="AL504"/>
      <c r="AM504"/>
      <c r="AN504"/>
      <c r="AO504"/>
      <c r="AP504"/>
      <c r="AQ504"/>
      <c r="AR504"/>
      <c r="AS504"/>
    </row>
    <row r="505" spans="1:45">
      <c r="A505" s="3"/>
      <c r="B505" s="3"/>
      <c r="C505" s="3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/>
      <c r="AK505"/>
      <c r="AL505"/>
      <c r="AM505"/>
      <c r="AN505"/>
      <c r="AO505"/>
      <c r="AP505"/>
      <c r="AQ505"/>
      <c r="AR505"/>
      <c r="AS505"/>
    </row>
    <row r="506" spans="1:45">
      <c r="A506" s="3"/>
      <c r="B506" s="3"/>
      <c r="C506" s="3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/>
      <c r="AK506"/>
      <c r="AL506"/>
      <c r="AM506"/>
      <c r="AN506"/>
      <c r="AO506"/>
      <c r="AP506"/>
      <c r="AQ506"/>
      <c r="AR506"/>
      <c r="AS506"/>
    </row>
    <row r="507" spans="1:45">
      <c r="A507" s="3"/>
      <c r="B507" s="3"/>
      <c r="C507" s="3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/>
      <c r="AK507"/>
      <c r="AL507"/>
      <c r="AM507"/>
      <c r="AN507"/>
      <c r="AO507"/>
      <c r="AP507"/>
      <c r="AQ507"/>
      <c r="AR507"/>
      <c r="AS507"/>
    </row>
    <row r="508" spans="1:45">
      <c r="A508" s="3"/>
      <c r="B508" s="3"/>
      <c r="C508" s="3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/>
      <c r="AK508"/>
      <c r="AL508"/>
      <c r="AM508"/>
      <c r="AN508"/>
      <c r="AO508"/>
      <c r="AP508"/>
      <c r="AQ508"/>
      <c r="AR508"/>
      <c r="AS508"/>
    </row>
    <row r="509" spans="1:45">
      <c r="A509" s="3"/>
      <c r="B509" s="3"/>
      <c r="C509" s="3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/>
      <c r="AK509"/>
      <c r="AL509"/>
      <c r="AM509"/>
      <c r="AN509"/>
      <c r="AO509"/>
      <c r="AP509"/>
      <c r="AQ509"/>
      <c r="AR509"/>
      <c r="AS509"/>
    </row>
    <row r="510" spans="1:45">
      <c r="A510" s="3"/>
      <c r="B510" s="3"/>
      <c r="C510" s="3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/>
      <c r="AK510"/>
      <c r="AL510"/>
      <c r="AM510"/>
      <c r="AN510"/>
      <c r="AO510"/>
      <c r="AP510"/>
      <c r="AQ510"/>
      <c r="AR510"/>
      <c r="AS510"/>
    </row>
    <row r="511" spans="1:45">
      <c r="A511" s="3"/>
      <c r="B511" s="3"/>
      <c r="C511" s="3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/>
      <c r="AK511"/>
      <c r="AL511"/>
      <c r="AM511"/>
      <c r="AN511"/>
      <c r="AO511"/>
      <c r="AP511"/>
      <c r="AQ511"/>
      <c r="AR511"/>
      <c r="AS511"/>
    </row>
    <row r="512" spans="1:45">
      <c r="A512" s="3"/>
      <c r="B512" s="3"/>
      <c r="C512" s="3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/>
      <c r="AK512"/>
      <c r="AL512"/>
      <c r="AM512"/>
      <c r="AN512"/>
      <c r="AO512"/>
      <c r="AP512"/>
      <c r="AQ512"/>
      <c r="AR512"/>
      <c r="AS512"/>
    </row>
    <row r="513" spans="1:45">
      <c r="A513" s="3"/>
      <c r="B513" s="3"/>
      <c r="C513" s="3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/>
      <c r="AK513"/>
      <c r="AL513"/>
      <c r="AM513"/>
      <c r="AN513"/>
      <c r="AO513"/>
      <c r="AP513"/>
      <c r="AQ513"/>
      <c r="AR513"/>
      <c r="AS513"/>
    </row>
    <row r="514" spans="1:45">
      <c r="A514" s="3"/>
      <c r="B514" s="3"/>
      <c r="C514" s="3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/>
      <c r="AK514"/>
      <c r="AL514"/>
      <c r="AM514"/>
      <c r="AN514"/>
      <c r="AO514"/>
      <c r="AP514"/>
      <c r="AQ514"/>
      <c r="AR514"/>
      <c r="AS514"/>
    </row>
    <row r="515" spans="1:45">
      <c r="A515" s="3"/>
      <c r="B515" s="3"/>
      <c r="C515" s="3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/>
      <c r="AK515"/>
      <c r="AL515"/>
      <c r="AM515"/>
      <c r="AN515"/>
      <c r="AO515"/>
      <c r="AP515"/>
      <c r="AQ515"/>
      <c r="AR515"/>
      <c r="AS515"/>
    </row>
    <row r="516" spans="1:45">
      <c r="A516" s="3"/>
      <c r="B516" s="3"/>
      <c r="C516" s="3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/>
      <c r="AK516"/>
      <c r="AL516"/>
      <c r="AM516"/>
      <c r="AN516"/>
      <c r="AO516"/>
      <c r="AP516"/>
      <c r="AQ516"/>
      <c r="AR516"/>
      <c r="AS516"/>
    </row>
    <row r="517" spans="1:45">
      <c r="A517" s="3"/>
      <c r="B517" s="3"/>
      <c r="C517" s="3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/>
      <c r="AK517"/>
      <c r="AL517"/>
      <c r="AM517"/>
      <c r="AN517"/>
      <c r="AO517"/>
      <c r="AP517"/>
      <c r="AQ517"/>
      <c r="AR517"/>
      <c r="AS517"/>
    </row>
    <row r="518" spans="1:45">
      <c r="A518" s="3"/>
      <c r="B518" s="3"/>
      <c r="C518" s="3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/>
      <c r="AK518"/>
      <c r="AL518"/>
      <c r="AM518"/>
      <c r="AN518"/>
      <c r="AO518"/>
      <c r="AP518"/>
      <c r="AQ518"/>
      <c r="AR518"/>
      <c r="AS518"/>
    </row>
    <row r="519" spans="1:45">
      <c r="A519" s="3"/>
      <c r="B519" s="3"/>
      <c r="C519" s="3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/>
      <c r="AK519"/>
      <c r="AL519"/>
      <c r="AM519"/>
      <c r="AN519"/>
      <c r="AO519"/>
      <c r="AP519"/>
      <c r="AQ519"/>
      <c r="AR519"/>
      <c r="AS519"/>
    </row>
    <row r="520" spans="1:45">
      <c r="A520" s="3"/>
      <c r="B520" s="3"/>
      <c r="C520" s="3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/>
      <c r="AK520"/>
      <c r="AL520"/>
      <c r="AM520"/>
      <c r="AN520"/>
      <c r="AO520"/>
      <c r="AP520"/>
      <c r="AQ520"/>
      <c r="AR520"/>
      <c r="AS520"/>
    </row>
    <row r="521" spans="1:45">
      <c r="A521" s="3"/>
      <c r="B521" s="3"/>
      <c r="C521" s="3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/>
      <c r="AK521"/>
      <c r="AL521"/>
      <c r="AM521"/>
      <c r="AN521"/>
      <c r="AO521"/>
      <c r="AP521"/>
      <c r="AQ521"/>
      <c r="AR521"/>
      <c r="AS521"/>
    </row>
    <row r="522" spans="1:45">
      <c r="A522" s="3"/>
      <c r="B522" s="3"/>
      <c r="C522" s="3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/>
      <c r="AK522"/>
      <c r="AL522"/>
      <c r="AM522"/>
      <c r="AN522"/>
      <c r="AO522"/>
      <c r="AP522"/>
      <c r="AQ522"/>
      <c r="AR522"/>
      <c r="AS522"/>
    </row>
    <row r="523" spans="1:45">
      <c r="A523" s="3"/>
      <c r="B523" s="3"/>
      <c r="C523" s="3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/>
      <c r="AK523"/>
      <c r="AL523"/>
      <c r="AM523"/>
      <c r="AN523"/>
      <c r="AO523"/>
      <c r="AP523"/>
      <c r="AQ523"/>
      <c r="AR523"/>
      <c r="AS523"/>
    </row>
    <row r="524" spans="1:45">
      <c r="A524" s="3"/>
      <c r="B524" s="3"/>
      <c r="C524" s="3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/>
      <c r="AK524"/>
      <c r="AL524"/>
      <c r="AM524"/>
      <c r="AN524"/>
      <c r="AO524"/>
      <c r="AP524"/>
      <c r="AQ524"/>
      <c r="AR524"/>
      <c r="AS524"/>
    </row>
    <row r="525" spans="1:45">
      <c r="A525" s="3"/>
      <c r="B525" s="3"/>
      <c r="C525" s="3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/>
      <c r="AK525"/>
      <c r="AL525"/>
      <c r="AM525"/>
      <c r="AN525"/>
      <c r="AO525"/>
      <c r="AP525"/>
      <c r="AQ525"/>
      <c r="AR525"/>
      <c r="AS525"/>
    </row>
    <row r="526" spans="1:45">
      <c r="A526" s="3"/>
      <c r="B526" s="3"/>
      <c r="C526" s="3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/>
      <c r="AK526"/>
      <c r="AL526"/>
      <c r="AM526"/>
      <c r="AN526"/>
      <c r="AO526"/>
      <c r="AP526"/>
      <c r="AQ526"/>
      <c r="AR526"/>
      <c r="AS526"/>
    </row>
    <row r="527" spans="1:45">
      <c r="A527" s="3"/>
      <c r="B527" s="3"/>
      <c r="C527" s="3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/>
      <c r="AK527"/>
      <c r="AL527"/>
      <c r="AM527"/>
      <c r="AN527"/>
      <c r="AO527"/>
      <c r="AP527"/>
      <c r="AQ527"/>
      <c r="AR527"/>
      <c r="AS527"/>
    </row>
    <row r="528" spans="1:45">
      <c r="A528" s="3"/>
      <c r="B528" s="3"/>
      <c r="C528" s="3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/>
      <c r="AK528"/>
      <c r="AL528"/>
      <c r="AM528"/>
      <c r="AN528"/>
      <c r="AO528"/>
      <c r="AP528"/>
      <c r="AQ528"/>
      <c r="AR528"/>
      <c r="AS528"/>
    </row>
    <row r="529" spans="1:45">
      <c r="A529" s="3"/>
      <c r="B529" s="3"/>
      <c r="C529" s="3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/>
      <c r="AK529"/>
      <c r="AL529"/>
      <c r="AM529"/>
      <c r="AN529"/>
      <c r="AO529"/>
      <c r="AP529"/>
      <c r="AQ529"/>
      <c r="AR529"/>
      <c r="AS529"/>
    </row>
    <row r="530" spans="1:45">
      <c r="A530" s="3"/>
      <c r="B530" s="3"/>
      <c r="C530" s="3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/>
      <c r="AK530"/>
      <c r="AL530"/>
      <c r="AM530"/>
      <c r="AN530"/>
      <c r="AO530"/>
      <c r="AP530"/>
      <c r="AQ530"/>
      <c r="AR530"/>
      <c r="AS530"/>
    </row>
    <row r="531" spans="1:45">
      <c r="A531" s="3"/>
      <c r="B531" s="3"/>
      <c r="C531" s="3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/>
      <c r="AK531"/>
      <c r="AL531"/>
      <c r="AM531"/>
      <c r="AN531"/>
      <c r="AO531"/>
      <c r="AP531"/>
      <c r="AQ531"/>
      <c r="AR531"/>
      <c r="AS531"/>
    </row>
    <row r="532" spans="1:45">
      <c r="A532" s="3"/>
      <c r="B532" s="3"/>
      <c r="C532" s="3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/>
      <c r="AK532"/>
      <c r="AL532"/>
      <c r="AM532"/>
      <c r="AN532"/>
      <c r="AO532"/>
      <c r="AP532"/>
      <c r="AQ532"/>
      <c r="AR532"/>
      <c r="AS532"/>
    </row>
    <row r="533" spans="1:45">
      <c r="A533" s="3"/>
      <c r="B533" s="3"/>
      <c r="C533" s="3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/>
      <c r="AK533"/>
      <c r="AL533"/>
      <c r="AM533"/>
      <c r="AN533"/>
      <c r="AO533"/>
      <c r="AP533"/>
      <c r="AQ533"/>
      <c r="AR533"/>
      <c r="AS533"/>
    </row>
    <row r="534" spans="1:45">
      <c r="A534" s="3"/>
      <c r="B534" s="3"/>
      <c r="C534" s="3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/>
      <c r="AK534"/>
      <c r="AL534"/>
      <c r="AM534"/>
      <c r="AN534"/>
      <c r="AO534"/>
      <c r="AP534"/>
      <c r="AQ534"/>
      <c r="AR534"/>
      <c r="AS534"/>
    </row>
    <row r="535" spans="1:45">
      <c r="A535" s="3"/>
      <c r="B535" s="3"/>
      <c r="C535" s="3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/>
      <c r="AK535"/>
      <c r="AL535"/>
      <c r="AM535"/>
      <c r="AN535"/>
      <c r="AO535"/>
      <c r="AP535"/>
      <c r="AQ535"/>
      <c r="AR535"/>
      <c r="AS535"/>
    </row>
    <row r="536" spans="1:45">
      <c r="A536" s="3"/>
      <c r="B536" s="3"/>
      <c r="C536" s="3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/>
      <c r="AK536"/>
      <c r="AL536"/>
      <c r="AM536"/>
      <c r="AN536"/>
      <c r="AO536"/>
      <c r="AP536"/>
      <c r="AQ536"/>
      <c r="AR536"/>
      <c r="AS536"/>
    </row>
    <row r="537" spans="1:45">
      <c r="A537" s="3"/>
      <c r="B537" s="3"/>
      <c r="C537" s="3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/>
      <c r="AK537"/>
      <c r="AL537"/>
      <c r="AM537"/>
      <c r="AN537"/>
      <c r="AO537"/>
      <c r="AP537"/>
      <c r="AQ537"/>
      <c r="AR537"/>
      <c r="AS537"/>
    </row>
    <row r="538" spans="1:45">
      <c r="A538" s="3"/>
      <c r="B538" s="3"/>
      <c r="C538" s="3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/>
      <c r="AK538"/>
      <c r="AL538"/>
      <c r="AM538"/>
      <c r="AN538"/>
      <c r="AO538"/>
      <c r="AP538"/>
      <c r="AQ538"/>
      <c r="AR538"/>
      <c r="AS538"/>
    </row>
    <row r="539" spans="1:45">
      <c r="A539" s="3"/>
      <c r="B539" s="3"/>
      <c r="C539" s="3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/>
      <c r="AK539"/>
      <c r="AL539"/>
      <c r="AM539"/>
      <c r="AN539"/>
      <c r="AO539"/>
      <c r="AP539"/>
      <c r="AQ539"/>
      <c r="AR539"/>
      <c r="AS539"/>
    </row>
    <row r="540" spans="1:45">
      <c r="A540" s="3"/>
      <c r="B540" s="3"/>
      <c r="C540" s="3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/>
      <c r="AK540"/>
      <c r="AL540"/>
      <c r="AM540"/>
      <c r="AN540"/>
      <c r="AO540"/>
      <c r="AP540"/>
      <c r="AQ540"/>
      <c r="AR540"/>
      <c r="AS540"/>
    </row>
    <row r="541" spans="1:45">
      <c r="A541" s="3"/>
      <c r="B541" s="3"/>
      <c r="C541" s="3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/>
      <c r="AK541"/>
      <c r="AL541"/>
      <c r="AM541"/>
      <c r="AN541"/>
      <c r="AO541"/>
      <c r="AP541"/>
      <c r="AQ541"/>
      <c r="AR541"/>
      <c r="AS541"/>
    </row>
    <row r="542" spans="1:45">
      <c r="A542" s="3"/>
      <c r="B542" s="3"/>
      <c r="C542" s="3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/>
      <c r="AK542"/>
      <c r="AL542"/>
      <c r="AM542"/>
      <c r="AN542"/>
      <c r="AO542"/>
      <c r="AP542"/>
      <c r="AQ542"/>
      <c r="AR542"/>
      <c r="AS542"/>
    </row>
    <row r="543" spans="1:45">
      <c r="A543" s="3"/>
      <c r="B543" s="3"/>
      <c r="C543" s="3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/>
      <c r="AK543"/>
      <c r="AL543"/>
      <c r="AM543"/>
      <c r="AN543"/>
      <c r="AO543"/>
      <c r="AP543"/>
      <c r="AQ543"/>
      <c r="AR543"/>
      <c r="AS543"/>
    </row>
    <row r="544" spans="1:45">
      <c r="A544" s="3"/>
      <c r="B544" s="3"/>
      <c r="C544" s="3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/>
      <c r="AK544"/>
      <c r="AL544"/>
      <c r="AM544"/>
      <c r="AN544"/>
      <c r="AO544"/>
      <c r="AP544"/>
      <c r="AQ544"/>
      <c r="AR544"/>
      <c r="AS544"/>
    </row>
    <row r="545" spans="1:45">
      <c r="A545" s="3"/>
      <c r="B545" s="3"/>
      <c r="C545" s="3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/>
      <c r="AK545"/>
      <c r="AL545"/>
      <c r="AM545"/>
      <c r="AN545"/>
      <c r="AO545"/>
      <c r="AP545"/>
      <c r="AQ545"/>
      <c r="AR545"/>
      <c r="AS545"/>
    </row>
    <row r="546" spans="1:45">
      <c r="A546" s="3"/>
      <c r="B546" s="3"/>
      <c r="C546" s="3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/>
      <c r="AK546"/>
      <c r="AL546"/>
      <c r="AM546"/>
      <c r="AN546"/>
      <c r="AO546"/>
      <c r="AP546"/>
      <c r="AQ546"/>
      <c r="AR546"/>
      <c r="AS546"/>
    </row>
    <row r="547" spans="1:45">
      <c r="A547" s="3"/>
      <c r="B547" s="3"/>
      <c r="C547" s="3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/>
      <c r="AK547"/>
      <c r="AL547"/>
      <c r="AM547"/>
      <c r="AN547"/>
      <c r="AO547"/>
      <c r="AP547"/>
      <c r="AQ547"/>
      <c r="AR547"/>
      <c r="AS547"/>
    </row>
    <row r="548" spans="1:45">
      <c r="A548" s="3"/>
      <c r="B548" s="3"/>
      <c r="C548" s="3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/>
      <c r="AK548"/>
      <c r="AL548"/>
      <c r="AM548"/>
      <c r="AN548"/>
      <c r="AO548"/>
      <c r="AP548"/>
      <c r="AQ548"/>
      <c r="AR548"/>
      <c r="AS548"/>
    </row>
    <row r="549" spans="1:45">
      <c r="A549" s="3"/>
      <c r="B549" s="3"/>
      <c r="C549" s="3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/>
      <c r="AK549"/>
      <c r="AL549"/>
      <c r="AM549"/>
      <c r="AN549"/>
      <c r="AO549"/>
      <c r="AP549"/>
      <c r="AQ549"/>
      <c r="AR549"/>
      <c r="AS549"/>
    </row>
    <row r="550" spans="1:45">
      <c r="A550" s="3"/>
      <c r="B550" s="3"/>
      <c r="C550" s="3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/>
      <c r="AK550"/>
      <c r="AL550"/>
      <c r="AM550"/>
      <c r="AN550"/>
      <c r="AO550"/>
      <c r="AP550"/>
      <c r="AQ550"/>
      <c r="AR550"/>
      <c r="AS550"/>
    </row>
    <row r="551" spans="1:45">
      <c r="A551" s="3"/>
      <c r="B551" s="3"/>
      <c r="C551" s="3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/>
      <c r="AK551"/>
      <c r="AL551"/>
      <c r="AM551"/>
      <c r="AN551"/>
      <c r="AO551"/>
      <c r="AP551"/>
      <c r="AQ551"/>
      <c r="AR551"/>
      <c r="AS551"/>
    </row>
    <row r="552" spans="1:45">
      <c r="A552" s="3"/>
      <c r="B552" s="3"/>
      <c r="C552" s="3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/>
      <c r="AK552"/>
      <c r="AL552"/>
      <c r="AM552"/>
      <c r="AN552"/>
      <c r="AO552"/>
      <c r="AP552"/>
      <c r="AQ552"/>
      <c r="AR552"/>
      <c r="AS552"/>
    </row>
    <row r="553" spans="1:45">
      <c r="A553" s="3"/>
      <c r="B553" s="3"/>
      <c r="C553" s="3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/>
      <c r="AK553"/>
      <c r="AL553"/>
      <c r="AM553"/>
      <c r="AN553"/>
      <c r="AO553"/>
      <c r="AP553"/>
      <c r="AQ553"/>
      <c r="AR553"/>
      <c r="AS553"/>
    </row>
    <row r="554" spans="1:45">
      <c r="A554" s="3"/>
      <c r="B554" s="3"/>
      <c r="C554" s="3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/>
      <c r="AK554"/>
      <c r="AL554"/>
      <c r="AM554"/>
      <c r="AN554"/>
      <c r="AO554"/>
      <c r="AP554"/>
      <c r="AQ554"/>
      <c r="AR554"/>
      <c r="AS554"/>
    </row>
    <row r="555" spans="1:45">
      <c r="A555" s="3"/>
      <c r="B555" s="3"/>
      <c r="C555" s="3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/>
      <c r="AK555"/>
      <c r="AL555"/>
      <c r="AM555"/>
      <c r="AN555"/>
      <c r="AO555"/>
      <c r="AP555"/>
      <c r="AQ555"/>
      <c r="AR555"/>
      <c r="AS555"/>
    </row>
    <row r="556" spans="1:45">
      <c r="A556" s="3"/>
      <c r="B556" s="3"/>
      <c r="C556" s="3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/>
      <c r="AK556"/>
      <c r="AL556"/>
      <c r="AM556"/>
      <c r="AN556"/>
      <c r="AO556"/>
      <c r="AP556"/>
      <c r="AQ556"/>
      <c r="AR556"/>
      <c r="AS556"/>
    </row>
    <row r="557" spans="1:45">
      <c r="A557" s="3"/>
      <c r="B557" s="3"/>
      <c r="C557" s="3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/>
      <c r="AK557"/>
      <c r="AL557"/>
      <c r="AM557"/>
      <c r="AN557"/>
      <c r="AO557"/>
      <c r="AP557"/>
      <c r="AQ557"/>
      <c r="AR557"/>
      <c r="AS557"/>
    </row>
    <row r="558" spans="1:45">
      <c r="A558" s="3"/>
      <c r="B558" s="3"/>
      <c r="C558" s="3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/>
      <c r="AK558"/>
      <c r="AL558"/>
      <c r="AM558"/>
      <c r="AN558"/>
      <c r="AO558"/>
      <c r="AP558"/>
      <c r="AQ558"/>
      <c r="AR558"/>
      <c r="AS558"/>
    </row>
    <row r="559" spans="1:45">
      <c r="A559" s="3"/>
      <c r="B559" s="3"/>
      <c r="C559" s="3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/>
      <c r="AK559"/>
      <c r="AL559"/>
      <c r="AM559"/>
      <c r="AN559"/>
      <c r="AO559"/>
      <c r="AP559"/>
      <c r="AQ559"/>
      <c r="AR559"/>
      <c r="AS559"/>
    </row>
    <row r="560" spans="1:45">
      <c r="A560" s="3"/>
      <c r="B560" s="3"/>
      <c r="C560" s="3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/>
      <c r="AK560"/>
      <c r="AL560"/>
      <c r="AM560"/>
      <c r="AN560"/>
      <c r="AO560"/>
      <c r="AP560"/>
      <c r="AQ560"/>
      <c r="AR560"/>
      <c r="AS560"/>
    </row>
    <row r="561" spans="1:45">
      <c r="A561" s="3"/>
      <c r="B561" s="3"/>
      <c r="C561" s="3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/>
      <c r="AK561"/>
      <c r="AL561"/>
      <c r="AM561"/>
      <c r="AN561"/>
      <c r="AO561"/>
      <c r="AP561"/>
      <c r="AQ561"/>
      <c r="AR561"/>
      <c r="AS561"/>
    </row>
    <row r="562" spans="1:45">
      <c r="A562" s="3"/>
      <c r="B562" s="3"/>
      <c r="C562" s="3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/>
      <c r="AK562"/>
      <c r="AL562"/>
      <c r="AM562"/>
      <c r="AN562"/>
      <c r="AO562"/>
      <c r="AP562"/>
      <c r="AQ562"/>
      <c r="AR562"/>
      <c r="AS562"/>
    </row>
    <row r="563" spans="1:45">
      <c r="A563" s="3"/>
      <c r="B563" s="3"/>
      <c r="C563" s="3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/>
      <c r="AK563"/>
      <c r="AL563"/>
      <c r="AM563"/>
      <c r="AN563"/>
      <c r="AO563"/>
      <c r="AP563"/>
      <c r="AQ563"/>
      <c r="AR563"/>
      <c r="AS563"/>
    </row>
    <row r="564" spans="1:45">
      <c r="A564" s="3"/>
      <c r="B564" s="3"/>
      <c r="C564" s="3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/>
      <c r="AK564"/>
      <c r="AL564"/>
      <c r="AM564"/>
      <c r="AN564"/>
      <c r="AO564"/>
      <c r="AP564"/>
      <c r="AQ564"/>
      <c r="AR564"/>
      <c r="AS564"/>
    </row>
    <row r="565" spans="1:45">
      <c r="A565" s="3"/>
      <c r="B565" s="3"/>
      <c r="C565" s="3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/>
      <c r="AK565"/>
      <c r="AL565"/>
      <c r="AM565"/>
      <c r="AN565"/>
      <c r="AO565"/>
      <c r="AP565"/>
      <c r="AQ565"/>
      <c r="AR565"/>
      <c r="AS565"/>
    </row>
    <row r="566" spans="1:45">
      <c r="A566" s="3"/>
      <c r="B566" s="3"/>
      <c r="C566" s="3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/>
      <c r="AK566"/>
      <c r="AL566"/>
      <c r="AM566"/>
      <c r="AN566"/>
      <c r="AO566"/>
      <c r="AP566"/>
      <c r="AQ566"/>
      <c r="AR566"/>
      <c r="AS566"/>
    </row>
    <row r="567" spans="1:45">
      <c r="A567" s="3"/>
      <c r="B567" s="3"/>
      <c r="C567" s="3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/>
      <c r="AK567"/>
      <c r="AL567"/>
      <c r="AM567"/>
      <c r="AN567"/>
      <c r="AO567"/>
      <c r="AP567"/>
      <c r="AQ567"/>
      <c r="AR567"/>
      <c r="AS567"/>
    </row>
    <row r="568" spans="1:45">
      <c r="A568" s="3"/>
      <c r="B568" s="3"/>
      <c r="C568" s="3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/>
      <c r="AK568"/>
      <c r="AL568"/>
      <c r="AM568"/>
      <c r="AN568"/>
      <c r="AO568"/>
      <c r="AP568"/>
      <c r="AQ568"/>
      <c r="AR568"/>
      <c r="AS568"/>
    </row>
    <row r="569" spans="1:45">
      <c r="A569" s="3"/>
      <c r="B569" s="3"/>
      <c r="C569" s="3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/>
      <c r="AK569"/>
      <c r="AL569"/>
      <c r="AM569"/>
      <c r="AN569"/>
      <c r="AO569"/>
      <c r="AP569"/>
      <c r="AQ569"/>
      <c r="AR569"/>
      <c r="AS569"/>
    </row>
    <row r="570" spans="1:45">
      <c r="A570" s="3"/>
      <c r="B570" s="3"/>
      <c r="C570" s="3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/>
      <c r="AK570"/>
      <c r="AL570"/>
      <c r="AM570"/>
      <c r="AN570"/>
      <c r="AO570"/>
      <c r="AP570"/>
      <c r="AQ570"/>
      <c r="AR570"/>
      <c r="AS570"/>
    </row>
    <row r="571" spans="1:45">
      <c r="A571" s="3"/>
      <c r="B571" s="3"/>
      <c r="C571" s="3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/>
      <c r="AK571"/>
      <c r="AL571"/>
      <c r="AM571"/>
      <c r="AN571"/>
      <c r="AO571"/>
      <c r="AP571"/>
      <c r="AQ571"/>
      <c r="AR571"/>
      <c r="AS571"/>
    </row>
    <row r="572" spans="1:45">
      <c r="A572" s="3"/>
      <c r="B572" s="3"/>
      <c r="C572" s="3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/>
      <c r="AK572"/>
      <c r="AL572"/>
      <c r="AM572"/>
      <c r="AN572"/>
      <c r="AO572"/>
      <c r="AP572"/>
      <c r="AQ572"/>
      <c r="AR572"/>
      <c r="AS572"/>
    </row>
    <row r="573" spans="1:45">
      <c r="A573" s="3"/>
      <c r="B573" s="3"/>
      <c r="C573" s="3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/>
      <c r="AK573"/>
      <c r="AL573"/>
      <c r="AM573"/>
      <c r="AN573"/>
      <c r="AO573"/>
      <c r="AP573"/>
      <c r="AQ573"/>
      <c r="AR573"/>
      <c r="AS573"/>
    </row>
    <row r="574" spans="1:45">
      <c r="A574" s="3"/>
      <c r="B574" s="3"/>
      <c r="C574" s="3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/>
      <c r="AK574"/>
      <c r="AL574"/>
      <c r="AM574"/>
      <c r="AN574"/>
      <c r="AO574"/>
      <c r="AP574"/>
      <c r="AQ574"/>
      <c r="AR574"/>
      <c r="AS574"/>
    </row>
    <row r="575" spans="1:45">
      <c r="A575" s="3"/>
      <c r="B575" s="3"/>
      <c r="C575" s="3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/>
      <c r="AK575"/>
      <c r="AL575"/>
      <c r="AM575"/>
      <c r="AN575"/>
      <c r="AO575"/>
      <c r="AP575"/>
      <c r="AQ575"/>
      <c r="AR575"/>
      <c r="AS575"/>
    </row>
    <row r="576" spans="1:45">
      <c r="A576" s="3"/>
      <c r="B576" s="3"/>
      <c r="C576" s="3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/>
      <c r="AK576"/>
      <c r="AL576"/>
      <c r="AM576"/>
      <c r="AN576"/>
      <c r="AO576"/>
      <c r="AP576"/>
      <c r="AQ576"/>
      <c r="AR576"/>
      <c r="AS576"/>
    </row>
    <row r="577" spans="1:45">
      <c r="A577" s="3"/>
      <c r="B577" s="3"/>
      <c r="C577" s="3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/>
      <c r="AK577"/>
      <c r="AL577"/>
      <c r="AM577"/>
      <c r="AN577"/>
      <c r="AO577"/>
      <c r="AP577"/>
      <c r="AQ577"/>
      <c r="AR577"/>
      <c r="AS577"/>
    </row>
    <row r="578" spans="1:45">
      <c r="A578" s="3"/>
      <c r="B578" s="3"/>
      <c r="C578" s="3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/>
      <c r="AK578"/>
      <c r="AL578"/>
      <c r="AM578"/>
      <c r="AN578"/>
      <c r="AO578"/>
      <c r="AP578"/>
      <c r="AQ578"/>
      <c r="AR578"/>
      <c r="AS578"/>
    </row>
    <row r="579" spans="1:45">
      <c r="A579" s="3"/>
      <c r="B579" s="3"/>
      <c r="C579" s="3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/>
      <c r="AK579"/>
      <c r="AL579"/>
      <c r="AM579"/>
      <c r="AN579"/>
      <c r="AO579"/>
      <c r="AP579"/>
      <c r="AQ579"/>
      <c r="AR579"/>
      <c r="AS579"/>
    </row>
    <row r="580" spans="1:45">
      <c r="A580" s="3"/>
      <c r="B580" s="3"/>
      <c r="C580" s="3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/>
      <c r="AK580"/>
      <c r="AL580"/>
      <c r="AM580"/>
      <c r="AN580"/>
      <c r="AO580"/>
      <c r="AP580"/>
      <c r="AQ580"/>
      <c r="AR580"/>
      <c r="AS580"/>
    </row>
    <row r="581" spans="1:45">
      <c r="A581" s="3"/>
      <c r="B581" s="3"/>
      <c r="C581" s="3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/>
      <c r="AK581"/>
      <c r="AL581"/>
      <c r="AM581"/>
      <c r="AN581"/>
      <c r="AO581"/>
      <c r="AP581"/>
      <c r="AQ581"/>
      <c r="AR581"/>
      <c r="AS581"/>
    </row>
    <row r="582" spans="1:45">
      <c r="A582" s="3"/>
      <c r="B582" s="3"/>
      <c r="C582" s="3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/>
      <c r="AK582"/>
      <c r="AL582"/>
      <c r="AM582"/>
      <c r="AN582"/>
      <c r="AO582"/>
      <c r="AP582"/>
      <c r="AQ582"/>
      <c r="AR582"/>
      <c r="AS582"/>
    </row>
    <row r="583" spans="1:45">
      <c r="A583" s="3"/>
      <c r="B583" s="3"/>
      <c r="C583" s="3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/>
      <c r="AK583"/>
      <c r="AL583"/>
      <c r="AM583"/>
      <c r="AN583"/>
      <c r="AO583"/>
      <c r="AP583"/>
      <c r="AQ583"/>
      <c r="AR583"/>
      <c r="AS583"/>
    </row>
    <row r="584" spans="1:45">
      <c r="A584" s="3"/>
      <c r="B584" s="3"/>
      <c r="C584" s="3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/>
      <c r="AK584"/>
      <c r="AL584"/>
      <c r="AM584"/>
      <c r="AN584"/>
      <c r="AO584"/>
      <c r="AP584"/>
      <c r="AQ584"/>
      <c r="AR584"/>
      <c r="AS584"/>
    </row>
    <row r="585" spans="1:45">
      <c r="A585" s="3"/>
      <c r="B585" s="3"/>
      <c r="C585" s="3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/>
      <c r="AK585"/>
      <c r="AL585"/>
      <c r="AM585"/>
      <c r="AN585"/>
      <c r="AO585"/>
      <c r="AP585"/>
      <c r="AQ585"/>
      <c r="AR585"/>
      <c r="AS585"/>
    </row>
    <row r="586" spans="1:45">
      <c r="A586" s="3"/>
      <c r="B586" s="3"/>
      <c r="C586" s="3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/>
      <c r="AK586"/>
      <c r="AL586"/>
      <c r="AM586"/>
      <c r="AN586"/>
      <c r="AO586"/>
      <c r="AP586"/>
      <c r="AQ586"/>
      <c r="AR586"/>
      <c r="AS586"/>
    </row>
    <row r="587" spans="1:45">
      <c r="A587" s="3"/>
      <c r="B587" s="3"/>
      <c r="C587" s="3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/>
      <c r="AK587"/>
      <c r="AL587"/>
      <c r="AM587"/>
      <c r="AN587"/>
      <c r="AO587"/>
      <c r="AP587"/>
      <c r="AQ587"/>
      <c r="AR587"/>
      <c r="AS587"/>
    </row>
    <row r="588" spans="1:45">
      <c r="A588" s="3"/>
      <c r="B588" s="3"/>
      <c r="C588" s="3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/>
      <c r="AK588"/>
      <c r="AL588"/>
      <c r="AM588"/>
      <c r="AN588"/>
      <c r="AO588"/>
      <c r="AP588"/>
      <c r="AQ588"/>
      <c r="AR588"/>
      <c r="AS588"/>
    </row>
    <row r="589" spans="1:45">
      <c r="A589" s="3"/>
      <c r="B589" s="3"/>
      <c r="C589" s="3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/>
      <c r="AK589"/>
      <c r="AL589"/>
      <c r="AM589"/>
      <c r="AN589"/>
      <c r="AO589"/>
      <c r="AP589"/>
      <c r="AQ589"/>
      <c r="AR589"/>
      <c r="AS589"/>
    </row>
    <row r="590" spans="1:45">
      <c r="A590" s="3"/>
      <c r="B590" s="3"/>
      <c r="C590" s="3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/>
      <c r="AK590"/>
      <c r="AL590"/>
      <c r="AM590"/>
      <c r="AN590"/>
      <c r="AO590"/>
      <c r="AP590"/>
      <c r="AQ590"/>
      <c r="AR590"/>
      <c r="AS590"/>
    </row>
    <row r="591" spans="1:45">
      <c r="A591" s="3"/>
      <c r="B591" s="3"/>
      <c r="C591" s="3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/>
      <c r="AK591"/>
      <c r="AL591"/>
      <c r="AM591"/>
      <c r="AN591"/>
      <c r="AO591"/>
      <c r="AP591"/>
      <c r="AQ591"/>
      <c r="AR591"/>
      <c r="AS591"/>
    </row>
    <row r="592" spans="1:45">
      <c r="A592" s="3"/>
      <c r="B592" s="3"/>
      <c r="C592" s="3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/>
      <c r="AK592"/>
      <c r="AL592"/>
      <c r="AM592"/>
      <c r="AN592"/>
      <c r="AO592"/>
      <c r="AP592"/>
      <c r="AQ592"/>
      <c r="AR592"/>
      <c r="AS592"/>
    </row>
    <row r="593" spans="1:45">
      <c r="A593" s="3"/>
      <c r="B593" s="3"/>
      <c r="C593" s="3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/>
      <c r="AK593"/>
      <c r="AL593"/>
      <c r="AM593"/>
      <c r="AN593"/>
      <c r="AO593"/>
      <c r="AP593"/>
      <c r="AQ593"/>
      <c r="AR593"/>
      <c r="AS593"/>
    </row>
    <row r="594" spans="1:45">
      <c r="A594" s="3"/>
      <c r="B594" s="3"/>
      <c r="C594" s="3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/>
      <c r="AK594"/>
      <c r="AL594"/>
      <c r="AM594"/>
      <c r="AN594"/>
      <c r="AO594"/>
      <c r="AP594"/>
      <c r="AQ594"/>
      <c r="AR594"/>
      <c r="AS594"/>
    </row>
    <row r="595" spans="1:45">
      <c r="A595" s="3"/>
      <c r="B595" s="3"/>
      <c r="C595" s="3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/>
      <c r="AK595"/>
      <c r="AL595"/>
      <c r="AM595"/>
      <c r="AN595"/>
      <c r="AO595"/>
      <c r="AP595"/>
      <c r="AQ595"/>
      <c r="AR595"/>
      <c r="AS595"/>
    </row>
    <row r="596" spans="1:45">
      <c r="A596" s="3"/>
      <c r="B596" s="3"/>
      <c r="C596" s="3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/>
      <c r="AK596"/>
      <c r="AL596"/>
      <c r="AM596"/>
      <c r="AN596"/>
      <c r="AO596"/>
      <c r="AP596"/>
      <c r="AQ596"/>
      <c r="AR596"/>
      <c r="AS596"/>
    </row>
    <row r="597" spans="1:45">
      <c r="A597" s="3"/>
      <c r="B597" s="3"/>
      <c r="C597" s="3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/>
      <c r="AK597"/>
      <c r="AL597"/>
      <c r="AM597"/>
      <c r="AN597"/>
      <c r="AO597"/>
      <c r="AP597"/>
      <c r="AQ597"/>
      <c r="AR597"/>
      <c r="AS597"/>
    </row>
    <row r="598" spans="1:45">
      <c r="A598" s="3"/>
      <c r="B598" s="3"/>
      <c r="C598" s="3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/>
      <c r="AK598"/>
      <c r="AL598"/>
      <c r="AM598"/>
      <c r="AN598"/>
      <c r="AO598"/>
      <c r="AP598"/>
      <c r="AQ598"/>
      <c r="AR598"/>
      <c r="AS598"/>
    </row>
    <row r="599" spans="1:45">
      <c r="A599" s="3"/>
      <c r="B599" s="3"/>
      <c r="C599" s="3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/>
      <c r="AK599"/>
      <c r="AL599"/>
      <c r="AM599"/>
      <c r="AN599"/>
      <c r="AO599"/>
      <c r="AP599"/>
      <c r="AQ599"/>
      <c r="AR599"/>
      <c r="AS599"/>
    </row>
    <row r="600" spans="1:45">
      <c r="A600" s="3"/>
      <c r="B600" s="3"/>
      <c r="C600" s="3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/>
      <c r="AK600"/>
      <c r="AL600"/>
      <c r="AM600"/>
      <c r="AN600"/>
      <c r="AO600"/>
      <c r="AP600"/>
      <c r="AQ600"/>
      <c r="AR600"/>
      <c r="AS600"/>
    </row>
    <row r="601" spans="1:45">
      <c r="A601" s="3"/>
      <c r="B601" s="3"/>
      <c r="C601" s="3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/>
      <c r="AK601"/>
      <c r="AL601"/>
      <c r="AM601"/>
      <c r="AN601"/>
      <c r="AO601"/>
      <c r="AP601"/>
      <c r="AQ601"/>
      <c r="AR601"/>
      <c r="AS601"/>
    </row>
    <row r="602" spans="1:45">
      <c r="A602" s="3"/>
      <c r="B602" s="3"/>
      <c r="C602" s="3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/>
      <c r="AK602"/>
      <c r="AL602"/>
      <c r="AM602"/>
      <c r="AN602"/>
      <c r="AO602"/>
      <c r="AP602"/>
      <c r="AQ602"/>
      <c r="AR602"/>
      <c r="AS602"/>
    </row>
    <row r="603" spans="1:45">
      <c r="A603" s="3"/>
      <c r="B603" s="3"/>
      <c r="C603" s="3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/>
      <c r="AK603"/>
      <c r="AL603"/>
      <c r="AM603"/>
      <c r="AN603"/>
      <c r="AO603"/>
      <c r="AP603"/>
      <c r="AQ603"/>
      <c r="AR603"/>
      <c r="AS603"/>
    </row>
    <row r="604" spans="1:45">
      <c r="A604" s="3"/>
      <c r="B604" s="3"/>
      <c r="C604" s="3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/>
      <c r="AK604"/>
      <c r="AL604"/>
      <c r="AM604"/>
      <c r="AN604"/>
      <c r="AO604"/>
      <c r="AP604"/>
      <c r="AQ604"/>
      <c r="AR604"/>
      <c r="AS604"/>
    </row>
    <row r="605" spans="1:45">
      <c r="A605" s="3"/>
      <c r="B605" s="3"/>
      <c r="C605" s="3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/>
      <c r="AK605"/>
      <c r="AL605"/>
      <c r="AM605"/>
      <c r="AN605"/>
      <c r="AO605"/>
      <c r="AP605"/>
      <c r="AQ605"/>
      <c r="AR605"/>
      <c r="AS605"/>
    </row>
    <row r="606" spans="1:45">
      <c r="A606" s="3"/>
      <c r="B606" s="3"/>
      <c r="C606" s="3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/>
      <c r="AK606"/>
      <c r="AL606"/>
      <c r="AM606"/>
      <c r="AN606"/>
      <c r="AO606"/>
      <c r="AP606"/>
      <c r="AQ606"/>
      <c r="AR606"/>
      <c r="AS606"/>
    </row>
    <row r="607" spans="1:45">
      <c r="A607" s="3"/>
      <c r="B607" s="3"/>
      <c r="C607" s="3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/>
      <c r="AK607"/>
      <c r="AL607"/>
      <c r="AM607"/>
      <c r="AN607"/>
      <c r="AO607"/>
      <c r="AP607"/>
      <c r="AQ607"/>
      <c r="AR607"/>
      <c r="AS607"/>
    </row>
    <row r="608" spans="1:45">
      <c r="A608" s="3"/>
      <c r="B608" s="3"/>
      <c r="C608" s="3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/>
      <c r="AK608"/>
      <c r="AL608"/>
      <c r="AM608"/>
      <c r="AN608"/>
      <c r="AO608"/>
      <c r="AP608"/>
      <c r="AQ608"/>
      <c r="AR608"/>
      <c r="AS608"/>
    </row>
    <row r="609" spans="1:45">
      <c r="A609" s="3"/>
      <c r="B609" s="3"/>
      <c r="C609" s="3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/>
      <c r="AK609"/>
      <c r="AL609"/>
      <c r="AM609"/>
      <c r="AN609"/>
      <c r="AO609"/>
      <c r="AP609"/>
      <c r="AQ609"/>
      <c r="AR609"/>
      <c r="AS609"/>
    </row>
    <row r="610" spans="1:45">
      <c r="A610" s="3"/>
      <c r="B610" s="3"/>
      <c r="C610" s="3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/>
      <c r="AK610"/>
      <c r="AL610"/>
      <c r="AM610"/>
      <c r="AN610"/>
      <c r="AO610"/>
      <c r="AP610"/>
      <c r="AQ610"/>
      <c r="AR610"/>
      <c r="AS610"/>
    </row>
    <row r="611" spans="1:45">
      <c r="A611" s="3"/>
      <c r="B611" s="3"/>
      <c r="C611" s="3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/>
      <c r="AK611"/>
      <c r="AL611"/>
      <c r="AM611"/>
      <c r="AN611"/>
      <c r="AO611"/>
      <c r="AP611"/>
      <c r="AQ611"/>
      <c r="AR611"/>
      <c r="AS611"/>
    </row>
    <row r="612" spans="1:45">
      <c r="A612" s="3"/>
      <c r="B612" s="3"/>
      <c r="C612" s="3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/>
      <c r="AK612"/>
      <c r="AL612"/>
      <c r="AM612"/>
      <c r="AN612"/>
      <c r="AO612"/>
      <c r="AP612"/>
      <c r="AQ612"/>
      <c r="AR612"/>
      <c r="AS612"/>
    </row>
    <row r="613" spans="1:45">
      <c r="A613" s="3"/>
      <c r="B613" s="3"/>
      <c r="C613" s="3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/>
      <c r="AK613"/>
      <c r="AL613"/>
      <c r="AM613"/>
      <c r="AN613"/>
      <c r="AO613"/>
      <c r="AP613"/>
      <c r="AQ613"/>
      <c r="AR613"/>
      <c r="AS613"/>
    </row>
    <row r="614" spans="1:45">
      <c r="A614" s="3"/>
      <c r="B614" s="3"/>
      <c r="C614" s="3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/>
      <c r="AK614"/>
      <c r="AL614"/>
      <c r="AM614"/>
      <c r="AN614"/>
      <c r="AO614"/>
      <c r="AP614"/>
      <c r="AQ614"/>
      <c r="AR614"/>
      <c r="AS614"/>
    </row>
    <row r="615" spans="1:45">
      <c r="A615" s="3"/>
      <c r="B615" s="3"/>
      <c r="C615" s="3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/>
      <c r="AK615"/>
      <c r="AL615"/>
      <c r="AM615"/>
      <c r="AN615"/>
      <c r="AO615"/>
      <c r="AP615"/>
      <c r="AQ615"/>
      <c r="AR615"/>
      <c r="AS615"/>
    </row>
    <row r="616" spans="1:45">
      <c r="A616" s="3"/>
      <c r="B616" s="3"/>
      <c r="C616" s="3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/>
      <c r="AK616"/>
      <c r="AL616"/>
      <c r="AM616"/>
      <c r="AN616"/>
      <c r="AO616"/>
      <c r="AP616"/>
      <c r="AQ616"/>
      <c r="AR616"/>
      <c r="AS616"/>
    </row>
    <row r="617" spans="1:45">
      <c r="A617" s="3"/>
      <c r="B617" s="3"/>
      <c r="C617" s="3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/>
      <c r="AK617"/>
      <c r="AL617"/>
      <c r="AM617"/>
      <c r="AN617"/>
      <c r="AO617"/>
      <c r="AP617"/>
      <c r="AQ617"/>
      <c r="AR617"/>
      <c r="AS617"/>
    </row>
    <row r="618" spans="1:45">
      <c r="A618" s="3"/>
      <c r="B618" s="3"/>
      <c r="C618" s="3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/>
      <c r="AK618"/>
      <c r="AL618"/>
      <c r="AM618"/>
      <c r="AN618"/>
      <c r="AO618"/>
      <c r="AP618"/>
      <c r="AQ618"/>
      <c r="AR618"/>
      <c r="AS618"/>
    </row>
    <row r="619" spans="1:45">
      <c r="A619" s="3"/>
      <c r="B619" s="3"/>
      <c r="C619" s="3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/>
      <c r="AK619"/>
      <c r="AL619"/>
      <c r="AM619"/>
      <c r="AN619"/>
      <c r="AO619"/>
      <c r="AP619"/>
      <c r="AQ619"/>
      <c r="AR619"/>
      <c r="AS619"/>
    </row>
    <row r="620" spans="1:45">
      <c r="A620" s="3"/>
      <c r="B620" s="3"/>
      <c r="C620" s="3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/>
      <c r="AK620"/>
      <c r="AL620"/>
      <c r="AM620"/>
      <c r="AN620"/>
      <c r="AO620"/>
      <c r="AP620"/>
      <c r="AQ620"/>
      <c r="AR620"/>
      <c r="AS620"/>
    </row>
    <row r="621" spans="1:45">
      <c r="A621" s="3"/>
      <c r="B621" s="3"/>
      <c r="C621" s="3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/>
      <c r="AK621"/>
      <c r="AL621"/>
      <c r="AM621"/>
      <c r="AN621"/>
      <c r="AO621"/>
      <c r="AP621"/>
      <c r="AQ621"/>
      <c r="AR621"/>
      <c r="AS621"/>
    </row>
    <row r="622" spans="1:45">
      <c r="A622" s="3"/>
      <c r="B622" s="3"/>
      <c r="C622" s="3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/>
      <c r="AK622"/>
      <c r="AL622"/>
      <c r="AM622"/>
      <c r="AN622"/>
      <c r="AO622"/>
      <c r="AP622"/>
      <c r="AQ622"/>
      <c r="AR622"/>
      <c r="AS622"/>
    </row>
    <row r="623" spans="1:45">
      <c r="A623" s="3"/>
      <c r="B623" s="3"/>
      <c r="C623" s="3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/>
      <c r="AK623"/>
      <c r="AL623"/>
      <c r="AM623"/>
      <c r="AN623"/>
      <c r="AO623"/>
      <c r="AP623"/>
      <c r="AQ623"/>
      <c r="AR623"/>
      <c r="AS623"/>
    </row>
    <row r="624" spans="1:45">
      <c r="A624" s="3"/>
      <c r="B624" s="3"/>
      <c r="C624" s="3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/>
      <c r="AK624"/>
      <c r="AL624"/>
      <c r="AM624"/>
      <c r="AN624"/>
      <c r="AO624"/>
      <c r="AP624"/>
      <c r="AQ624"/>
      <c r="AR624"/>
      <c r="AS624"/>
    </row>
    <row r="625" spans="1:45">
      <c r="A625" s="3"/>
      <c r="B625" s="3"/>
      <c r="C625" s="3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/>
      <c r="AK625"/>
      <c r="AL625"/>
      <c r="AM625"/>
      <c r="AN625"/>
      <c r="AO625"/>
      <c r="AP625"/>
      <c r="AQ625"/>
      <c r="AR625"/>
      <c r="AS625"/>
    </row>
    <row r="626" spans="1:45">
      <c r="A626" s="3"/>
      <c r="B626" s="3"/>
      <c r="C626" s="3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/>
      <c r="AK626"/>
      <c r="AL626"/>
      <c r="AM626"/>
      <c r="AN626"/>
      <c r="AO626"/>
      <c r="AP626"/>
      <c r="AQ626"/>
      <c r="AR626"/>
      <c r="AS626"/>
    </row>
    <row r="627" spans="1:45">
      <c r="A627" s="3"/>
      <c r="B627" s="3"/>
      <c r="C627" s="3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/>
      <c r="AK627"/>
      <c r="AL627"/>
      <c r="AM627"/>
      <c r="AN627"/>
      <c r="AO627"/>
      <c r="AP627"/>
      <c r="AQ627"/>
      <c r="AR627"/>
      <c r="AS627"/>
    </row>
    <row r="628" spans="1:45">
      <c r="A628" s="3"/>
      <c r="B628" s="3"/>
      <c r="C628" s="3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/>
      <c r="AK628"/>
      <c r="AL628"/>
      <c r="AM628"/>
      <c r="AN628"/>
      <c r="AO628"/>
      <c r="AP628"/>
      <c r="AQ628"/>
      <c r="AR628"/>
      <c r="AS628"/>
    </row>
    <row r="629" spans="1:45">
      <c r="A629" s="3"/>
      <c r="B629" s="3"/>
      <c r="C629" s="3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/>
      <c r="AK629"/>
      <c r="AL629"/>
      <c r="AM629"/>
      <c r="AN629"/>
      <c r="AO629"/>
      <c r="AP629"/>
      <c r="AQ629"/>
      <c r="AR629"/>
      <c r="AS629"/>
    </row>
    <row r="630" spans="1:45">
      <c r="A630" s="3"/>
      <c r="B630" s="3"/>
      <c r="C630" s="3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/>
      <c r="AK630"/>
      <c r="AL630"/>
      <c r="AM630"/>
      <c r="AN630"/>
      <c r="AO630"/>
      <c r="AP630"/>
      <c r="AQ630"/>
      <c r="AR630"/>
      <c r="AS630"/>
    </row>
    <row r="631" spans="1:45">
      <c r="A631" s="3"/>
      <c r="B631" s="3"/>
      <c r="C631" s="3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/>
      <c r="AK631"/>
      <c r="AL631"/>
      <c r="AM631"/>
      <c r="AN631"/>
      <c r="AO631"/>
      <c r="AP631"/>
      <c r="AQ631"/>
      <c r="AR631"/>
      <c r="AS631"/>
    </row>
    <row r="632" spans="1:45">
      <c r="A632" s="3"/>
      <c r="B632" s="3"/>
      <c r="C632" s="3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/>
      <c r="AK632"/>
      <c r="AL632"/>
      <c r="AM632"/>
      <c r="AN632"/>
      <c r="AO632"/>
      <c r="AP632"/>
      <c r="AQ632"/>
      <c r="AR632"/>
      <c r="AS632"/>
    </row>
    <row r="633" spans="1:45">
      <c r="A633" s="3"/>
      <c r="B633" s="3"/>
      <c r="C633" s="3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/>
      <c r="AK633"/>
      <c r="AL633"/>
      <c r="AM633"/>
      <c r="AN633"/>
      <c r="AO633"/>
      <c r="AP633"/>
      <c r="AQ633"/>
      <c r="AR633"/>
      <c r="AS633"/>
    </row>
    <row r="634" spans="1:45">
      <c r="A634" s="3"/>
      <c r="B634" s="3"/>
      <c r="C634" s="3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/>
      <c r="AK634"/>
      <c r="AL634"/>
      <c r="AM634"/>
      <c r="AN634"/>
      <c r="AO634"/>
      <c r="AP634"/>
      <c r="AQ634"/>
      <c r="AR634"/>
      <c r="AS634"/>
    </row>
    <row r="635" spans="1:45">
      <c r="A635" s="3"/>
      <c r="B635" s="3"/>
      <c r="C635" s="3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/>
      <c r="AK635"/>
      <c r="AL635"/>
      <c r="AM635"/>
      <c r="AN635"/>
      <c r="AO635"/>
      <c r="AP635"/>
      <c r="AQ635"/>
      <c r="AR635"/>
      <c r="AS635"/>
    </row>
    <row r="636" spans="1:45">
      <c r="A636" s="3"/>
      <c r="B636" s="3"/>
      <c r="C636" s="3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/>
      <c r="AK636"/>
      <c r="AL636"/>
      <c r="AM636"/>
      <c r="AN636"/>
      <c r="AO636"/>
      <c r="AP636"/>
      <c r="AQ636"/>
      <c r="AR636"/>
      <c r="AS636"/>
    </row>
    <row r="637" spans="1:45">
      <c r="A637" s="3"/>
      <c r="B637" s="3"/>
      <c r="C637" s="3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/>
      <c r="AK637"/>
      <c r="AL637"/>
      <c r="AM637"/>
      <c r="AN637"/>
      <c r="AO637"/>
      <c r="AP637"/>
      <c r="AQ637"/>
      <c r="AR637"/>
      <c r="AS637"/>
    </row>
    <row r="638" spans="1:45">
      <c r="A638" s="3"/>
      <c r="B638" s="3"/>
      <c r="C638" s="3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/>
      <c r="AK638"/>
      <c r="AL638"/>
      <c r="AM638"/>
      <c r="AN638"/>
      <c r="AO638"/>
      <c r="AP638"/>
      <c r="AQ638"/>
      <c r="AR638"/>
      <c r="AS638"/>
    </row>
    <row r="639" spans="1:45">
      <c r="A639" s="3"/>
      <c r="B639" s="3"/>
      <c r="C639" s="3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/>
      <c r="AK639"/>
      <c r="AL639"/>
      <c r="AM639"/>
      <c r="AN639"/>
      <c r="AO639"/>
      <c r="AP639"/>
      <c r="AQ639"/>
      <c r="AR639"/>
      <c r="AS639"/>
    </row>
    <row r="640" spans="1:45">
      <c r="A640" s="3"/>
      <c r="B640" s="3"/>
      <c r="C640" s="3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/>
      <c r="AK640"/>
      <c r="AL640"/>
      <c r="AM640"/>
      <c r="AN640"/>
      <c r="AO640"/>
      <c r="AP640"/>
      <c r="AQ640"/>
      <c r="AR640"/>
      <c r="AS640"/>
    </row>
    <row r="641" spans="1:45">
      <c r="A641" s="3"/>
      <c r="B641" s="3"/>
      <c r="C641" s="3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/>
      <c r="AK641"/>
      <c r="AL641"/>
      <c r="AM641"/>
      <c r="AN641"/>
      <c r="AO641"/>
      <c r="AP641"/>
      <c r="AQ641"/>
      <c r="AR641"/>
      <c r="AS641"/>
    </row>
    <row r="642" spans="1:45">
      <c r="A642" s="3"/>
      <c r="B642" s="3"/>
      <c r="C642" s="3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/>
      <c r="AK642"/>
      <c r="AL642"/>
      <c r="AM642"/>
      <c r="AN642"/>
      <c r="AO642"/>
      <c r="AP642"/>
      <c r="AQ642"/>
      <c r="AR642"/>
      <c r="AS642"/>
    </row>
    <row r="643" spans="1:45">
      <c r="A643" s="3"/>
      <c r="B643" s="3"/>
      <c r="C643" s="3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/>
      <c r="AK643"/>
      <c r="AL643"/>
      <c r="AM643"/>
      <c r="AN643"/>
      <c r="AO643"/>
      <c r="AP643"/>
      <c r="AQ643"/>
      <c r="AR643"/>
      <c r="AS643"/>
    </row>
    <row r="644" spans="1:45">
      <c r="A644" s="3"/>
      <c r="B644" s="3"/>
      <c r="C644" s="3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/>
      <c r="AK644"/>
      <c r="AL644"/>
      <c r="AM644"/>
      <c r="AN644"/>
      <c r="AO644"/>
      <c r="AP644"/>
      <c r="AQ644"/>
      <c r="AR644"/>
      <c r="AS644"/>
    </row>
    <row r="645" spans="1:45">
      <c r="A645" s="3"/>
      <c r="B645" s="3"/>
      <c r="C645" s="3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/>
      <c r="AK645"/>
      <c r="AL645"/>
      <c r="AM645"/>
      <c r="AN645"/>
      <c r="AO645"/>
      <c r="AP645"/>
      <c r="AQ645"/>
      <c r="AR645"/>
      <c r="AS645"/>
    </row>
    <row r="646" spans="1:45">
      <c r="A646" s="3"/>
      <c r="B646" s="3"/>
      <c r="C646" s="3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/>
      <c r="AK646"/>
      <c r="AL646"/>
      <c r="AM646"/>
      <c r="AN646"/>
      <c r="AO646"/>
      <c r="AP646"/>
      <c r="AQ646"/>
      <c r="AR646"/>
      <c r="AS646"/>
    </row>
    <row r="647" spans="1:45">
      <c r="A647" s="3"/>
      <c r="B647" s="3"/>
      <c r="C647" s="3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/>
      <c r="AK647"/>
      <c r="AL647"/>
      <c r="AM647"/>
      <c r="AN647"/>
      <c r="AO647"/>
      <c r="AP647"/>
      <c r="AQ647"/>
      <c r="AR647"/>
      <c r="AS647"/>
    </row>
    <row r="648" spans="1:45">
      <c r="A648" s="3"/>
      <c r="B648" s="3"/>
      <c r="C648" s="3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/>
      <c r="AK648"/>
      <c r="AL648"/>
      <c r="AM648"/>
      <c r="AN648"/>
      <c r="AO648"/>
      <c r="AP648"/>
      <c r="AQ648"/>
      <c r="AR648"/>
      <c r="AS648"/>
    </row>
    <row r="649" spans="1:45">
      <c r="A649" s="3"/>
      <c r="B649" s="3"/>
      <c r="C649" s="3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/>
      <c r="AK649"/>
      <c r="AL649"/>
      <c r="AM649"/>
      <c r="AN649"/>
      <c r="AO649"/>
      <c r="AP649"/>
      <c r="AQ649"/>
      <c r="AR649"/>
      <c r="AS649"/>
    </row>
    <row r="650" spans="1:45">
      <c r="A650" s="3"/>
      <c r="B650" s="3"/>
      <c r="C650" s="3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/>
      <c r="AK650"/>
      <c r="AL650"/>
      <c r="AM650"/>
      <c r="AN650"/>
      <c r="AO650"/>
      <c r="AP650"/>
      <c r="AQ650"/>
      <c r="AR650"/>
      <c r="AS650"/>
    </row>
    <row r="651" spans="1:45">
      <c r="A651" s="3"/>
      <c r="B651" s="3"/>
      <c r="C651" s="3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/>
      <c r="AK651"/>
      <c r="AL651"/>
      <c r="AM651"/>
      <c r="AN651"/>
      <c r="AO651"/>
      <c r="AP651"/>
      <c r="AQ651"/>
      <c r="AR651"/>
      <c r="AS651"/>
    </row>
    <row r="652" spans="1:45">
      <c r="A652" s="3"/>
      <c r="B652" s="3"/>
      <c r="C652" s="3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/>
      <c r="AK652"/>
      <c r="AL652"/>
      <c r="AM652"/>
      <c r="AN652"/>
      <c r="AO652"/>
      <c r="AP652"/>
      <c r="AQ652"/>
      <c r="AR652"/>
      <c r="AS652"/>
    </row>
    <row r="653" spans="1:45">
      <c r="A653" s="3"/>
      <c r="B653" s="3"/>
      <c r="C653" s="3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/>
      <c r="AK653"/>
      <c r="AL653"/>
      <c r="AM653"/>
      <c r="AN653"/>
      <c r="AO653"/>
      <c r="AP653"/>
      <c r="AQ653"/>
      <c r="AR653"/>
      <c r="AS653"/>
    </row>
    <row r="654" spans="1:45">
      <c r="A654" s="3"/>
      <c r="B654" s="3"/>
      <c r="C654" s="3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/>
      <c r="AK654"/>
      <c r="AL654"/>
      <c r="AM654"/>
      <c r="AN654"/>
      <c r="AO654"/>
      <c r="AP654"/>
      <c r="AQ654"/>
      <c r="AR654"/>
      <c r="AS654"/>
    </row>
    <row r="655" spans="1:45">
      <c r="A655" s="3"/>
      <c r="B655" s="3"/>
      <c r="C655" s="3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/>
      <c r="AK655"/>
      <c r="AL655"/>
      <c r="AM655"/>
      <c r="AN655"/>
      <c r="AO655"/>
      <c r="AP655"/>
      <c r="AQ655"/>
      <c r="AR655"/>
      <c r="AS655"/>
    </row>
    <row r="656" spans="1:45">
      <c r="A656" s="3"/>
      <c r="B656" s="3"/>
      <c r="C656" s="3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/>
      <c r="AK656"/>
      <c r="AL656"/>
      <c r="AM656"/>
      <c r="AN656"/>
      <c r="AO656"/>
      <c r="AP656"/>
      <c r="AQ656"/>
      <c r="AR656"/>
      <c r="AS656"/>
    </row>
    <row r="657" spans="1:45">
      <c r="A657" s="3"/>
      <c r="B657" s="3"/>
      <c r="C657" s="3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/>
      <c r="AK657"/>
      <c r="AL657"/>
      <c r="AM657"/>
      <c r="AN657"/>
      <c r="AO657"/>
      <c r="AP657"/>
      <c r="AQ657"/>
      <c r="AR657"/>
      <c r="AS657"/>
    </row>
    <row r="658" spans="1:45">
      <c r="A658" s="3"/>
      <c r="B658" s="3"/>
      <c r="C658" s="3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/>
      <c r="AK658"/>
      <c r="AL658"/>
      <c r="AM658"/>
      <c r="AN658"/>
      <c r="AO658"/>
      <c r="AP658"/>
      <c r="AQ658"/>
      <c r="AR658"/>
      <c r="AS658"/>
    </row>
    <row r="659" spans="1:45">
      <c r="A659" s="3"/>
      <c r="B659" s="3"/>
      <c r="C659" s="3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/>
      <c r="AK659"/>
      <c r="AL659"/>
      <c r="AM659"/>
      <c r="AN659"/>
      <c r="AO659"/>
      <c r="AP659"/>
      <c r="AQ659"/>
      <c r="AR659"/>
      <c r="AS659"/>
    </row>
    <row r="660" spans="1:45">
      <c r="A660" s="3"/>
      <c r="B660" s="3"/>
      <c r="C660" s="3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/>
      <c r="AK660"/>
      <c r="AL660"/>
      <c r="AM660"/>
      <c r="AN660"/>
      <c r="AO660"/>
      <c r="AP660"/>
      <c r="AQ660"/>
      <c r="AR660"/>
      <c r="AS660"/>
    </row>
    <row r="661" spans="1:45">
      <c r="A661" s="3"/>
      <c r="B661" s="3"/>
      <c r="C661" s="3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/>
      <c r="AK661"/>
      <c r="AL661"/>
      <c r="AM661"/>
      <c r="AN661"/>
      <c r="AO661"/>
      <c r="AP661"/>
      <c r="AQ661"/>
      <c r="AR661"/>
      <c r="AS661"/>
    </row>
    <row r="662" spans="1:45">
      <c r="A662" s="3"/>
      <c r="B662" s="3"/>
      <c r="C662" s="3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/>
      <c r="AK662"/>
      <c r="AL662"/>
      <c r="AM662"/>
      <c r="AN662"/>
      <c r="AO662"/>
      <c r="AP662"/>
      <c r="AQ662"/>
      <c r="AR662"/>
      <c r="AS662"/>
    </row>
    <row r="663" spans="1:45">
      <c r="A663" s="3"/>
      <c r="B663" s="3"/>
      <c r="C663" s="3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/>
      <c r="AK663"/>
      <c r="AL663"/>
      <c r="AM663"/>
      <c r="AN663"/>
      <c r="AO663"/>
      <c r="AP663"/>
      <c r="AQ663"/>
      <c r="AR663"/>
      <c r="AS663"/>
    </row>
    <row r="664" spans="1:45">
      <c r="A664" s="3"/>
      <c r="B664" s="3"/>
      <c r="C664" s="3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/>
      <c r="AK664"/>
      <c r="AL664"/>
      <c r="AM664"/>
      <c r="AN664"/>
      <c r="AO664"/>
      <c r="AP664"/>
      <c r="AQ664"/>
      <c r="AR664"/>
      <c r="AS664"/>
    </row>
    <row r="665" spans="1:45">
      <c r="A665" s="3"/>
      <c r="B665" s="3"/>
      <c r="C665" s="3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/>
      <c r="AK665"/>
      <c r="AL665"/>
      <c r="AM665"/>
      <c r="AN665"/>
      <c r="AO665"/>
      <c r="AP665"/>
      <c r="AQ665"/>
      <c r="AR665"/>
      <c r="AS665"/>
    </row>
    <row r="666" spans="1:45">
      <c r="A666" s="3"/>
      <c r="B666" s="3"/>
      <c r="C666" s="3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/>
      <c r="AK666"/>
      <c r="AL666"/>
      <c r="AM666"/>
      <c r="AN666"/>
      <c r="AO666"/>
      <c r="AP666"/>
      <c r="AQ666"/>
      <c r="AR666"/>
      <c r="AS666"/>
    </row>
    <row r="667" spans="1:45">
      <c r="A667" s="3"/>
      <c r="B667" s="3"/>
      <c r="C667" s="3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/>
      <c r="AK667"/>
      <c r="AL667"/>
      <c r="AM667"/>
      <c r="AN667"/>
      <c r="AO667"/>
      <c r="AP667"/>
      <c r="AQ667"/>
      <c r="AR667"/>
      <c r="AS667"/>
    </row>
    <row r="668" spans="1:45">
      <c r="A668" s="3"/>
      <c r="B668" s="3"/>
      <c r="C668" s="3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/>
      <c r="AK668"/>
      <c r="AL668"/>
      <c r="AM668"/>
      <c r="AN668"/>
      <c r="AO668"/>
      <c r="AP668"/>
      <c r="AQ668"/>
      <c r="AR668"/>
      <c r="AS668"/>
    </row>
    <row r="669" spans="1:45">
      <c r="A669" s="3"/>
      <c r="B669" s="3"/>
      <c r="C669" s="3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/>
      <c r="AK669"/>
      <c r="AL669"/>
      <c r="AM669"/>
      <c r="AN669"/>
      <c r="AO669"/>
      <c r="AP669"/>
      <c r="AQ669"/>
      <c r="AR669"/>
      <c r="AS669"/>
    </row>
    <row r="670" spans="1:45">
      <c r="A670" s="3"/>
      <c r="B670" s="3"/>
      <c r="C670" s="3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/>
      <c r="AK670"/>
      <c r="AL670"/>
      <c r="AM670"/>
      <c r="AN670"/>
      <c r="AO670"/>
      <c r="AP670"/>
      <c r="AQ670"/>
      <c r="AR670"/>
      <c r="AS670"/>
    </row>
    <row r="671" spans="1:45">
      <c r="A671" s="3"/>
      <c r="B671" s="3"/>
      <c r="C671" s="3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/>
      <c r="AK671"/>
      <c r="AL671"/>
      <c r="AM671"/>
      <c r="AN671"/>
      <c r="AO671"/>
      <c r="AP671"/>
      <c r="AQ671"/>
      <c r="AR671"/>
      <c r="AS671"/>
    </row>
    <row r="672" spans="1:45">
      <c r="A672" s="3"/>
      <c r="B672" s="3"/>
      <c r="C672" s="3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/>
      <c r="AK672"/>
      <c r="AL672"/>
      <c r="AM672"/>
      <c r="AN672"/>
      <c r="AO672"/>
      <c r="AP672"/>
      <c r="AQ672"/>
      <c r="AR672"/>
      <c r="AS672"/>
    </row>
    <row r="673" spans="1:45">
      <c r="A673" s="3"/>
      <c r="B673" s="3"/>
      <c r="C673" s="3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/>
      <c r="AK673"/>
      <c r="AL673"/>
      <c r="AM673"/>
      <c r="AN673"/>
      <c r="AO673"/>
      <c r="AP673"/>
      <c r="AQ673"/>
      <c r="AR673"/>
      <c r="AS673"/>
    </row>
    <row r="674" spans="1:45">
      <c r="A674" s="3"/>
      <c r="B674" s="3"/>
      <c r="C674" s="3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/>
      <c r="AK674"/>
      <c r="AL674"/>
      <c r="AM674"/>
      <c r="AN674"/>
      <c r="AO674"/>
      <c r="AP674"/>
      <c r="AQ674"/>
      <c r="AR674"/>
      <c r="AS674"/>
    </row>
    <row r="675" spans="1:45">
      <c r="A675" s="3"/>
      <c r="B675" s="3"/>
      <c r="C675" s="3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/>
      <c r="AK675"/>
      <c r="AL675"/>
      <c r="AM675"/>
      <c r="AN675"/>
      <c r="AO675"/>
      <c r="AP675"/>
      <c r="AQ675"/>
      <c r="AR675"/>
      <c r="AS675"/>
    </row>
    <row r="676" spans="1:45">
      <c r="A676" s="3"/>
      <c r="B676" s="3"/>
      <c r="C676" s="3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/>
      <c r="AK676"/>
      <c r="AL676"/>
      <c r="AM676"/>
      <c r="AN676"/>
      <c r="AO676"/>
      <c r="AP676"/>
      <c r="AQ676"/>
      <c r="AR676"/>
      <c r="AS676"/>
    </row>
    <row r="677" spans="1:45">
      <c r="A677" s="3"/>
      <c r="B677" s="3"/>
      <c r="C677" s="3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/>
      <c r="AK677"/>
      <c r="AL677"/>
      <c r="AM677"/>
      <c r="AN677"/>
      <c r="AO677"/>
      <c r="AP677"/>
      <c r="AQ677"/>
      <c r="AR677"/>
      <c r="AS677"/>
    </row>
    <row r="678" spans="1:45">
      <c r="A678" s="3"/>
      <c r="B678" s="3"/>
      <c r="C678" s="3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/>
      <c r="AK678"/>
      <c r="AL678"/>
      <c r="AM678"/>
      <c r="AN678"/>
      <c r="AO678"/>
      <c r="AP678"/>
      <c r="AQ678"/>
      <c r="AR678"/>
      <c r="AS678"/>
    </row>
    <row r="679" spans="1:45">
      <c r="A679" s="3"/>
      <c r="B679" s="3"/>
      <c r="C679" s="3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/>
      <c r="AK679"/>
      <c r="AL679"/>
      <c r="AM679"/>
      <c r="AN679"/>
      <c r="AO679"/>
      <c r="AP679"/>
      <c r="AQ679"/>
      <c r="AR679"/>
      <c r="AS679"/>
    </row>
    <row r="680" spans="1:45">
      <c r="A680" s="3"/>
      <c r="B680" s="3"/>
      <c r="C680" s="3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/>
      <c r="AK680"/>
      <c r="AL680"/>
      <c r="AM680"/>
      <c r="AN680"/>
      <c r="AO680"/>
      <c r="AP680"/>
      <c r="AQ680"/>
      <c r="AR680"/>
      <c r="AS680"/>
    </row>
    <row r="681" spans="1:45">
      <c r="A681" s="3"/>
      <c r="B681" s="3"/>
      <c r="C681" s="3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/>
      <c r="AK681"/>
      <c r="AL681"/>
      <c r="AM681"/>
      <c r="AN681"/>
      <c r="AO681"/>
      <c r="AP681"/>
      <c r="AQ681"/>
      <c r="AR681"/>
      <c r="AS681"/>
    </row>
    <row r="682" spans="1:45">
      <c r="A682" s="3"/>
      <c r="B682" s="3"/>
      <c r="C682" s="3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/>
      <c r="AK682"/>
      <c r="AL682"/>
      <c r="AM682"/>
      <c r="AN682"/>
      <c r="AO682"/>
      <c r="AP682"/>
      <c r="AQ682"/>
      <c r="AR682"/>
      <c r="AS682"/>
    </row>
    <row r="683" spans="1:45">
      <c r="A683" s="3"/>
      <c r="B683" s="3"/>
      <c r="C683" s="3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/>
      <c r="AK683"/>
      <c r="AL683"/>
      <c r="AM683"/>
      <c r="AN683"/>
      <c r="AO683"/>
      <c r="AP683"/>
      <c r="AQ683"/>
      <c r="AR683"/>
      <c r="AS683"/>
    </row>
    <row r="684" spans="1:45">
      <c r="A684" s="3"/>
      <c r="B684" s="3"/>
      <c r="C684" s="3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/>
      <c r="AK684"/>
      <c r="AL684"/>
      <c r="AM684"/>
      <c r="AN684"/>
      <c r="AO684"/>
      <c r="AP684"/>
      <c r="AQ684"/>
      <c r="AR684"/>
      <c r="AS684"/>
    </row>
    <row r="685" spans="1:45">
      <c r="A685" s="3"/>
      <c r="B685" s="3"/>
      <c r="C685" s="3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/>
      <c r="AK685"/>
      <c r="AL685"/>
      <c r="AM685"/>
      <c r="AN685"/>
      <c r="AO685"/>
      <c r="AP685"/>
      <c r="AQ685"/>
      <c r="AR685"/>
      <c r="AS685"/>
    </row>
    <row r="686" spans="1:45">
      <c r="A686" s="3"/>
      <c r="B686" s="3"/>
      <c r="C686" s="3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/>
      <c r="AK686"/>
      <c r="AL686"/>
      <c r="AM686"/>
      <c r="AN686"/>
      <c r="AO686"/>
      <c r="AP686"/>
      <c r="AQ686"/>
      <c r="AR686"/>
      <c r="AS686"/>
    </row>
    <row r="687" spans="1:45">
      <c r="A687" s="3"/>
      <c r="B687" s="3"/>
      <c r="C687" s="3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/>
      <c r="AK687"/>
      <c r="AL687"/>
      <c r="AM687"/>
      <c r="AN687"/>
      <c r="AO687"/>
      <c r="AP687"/>
      <c r="AQ687"/>
      <c r="AR687"/>
      <c r="AS687"/>
    </row>
    <row r="688" spans="1:45">
      <c r="A688" s="3"/>
      <c r="B688" s="3"/>
      <c r="C688" s="3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/>
      <c r="AK688"/>
      <c r="AL688"/>
      <c r="AM688"/>
      <c r="AN688"/>
      <c r="AO688"/>
      <c r="AP688"/>
      <c r="AQ688"/>
      <c r="AR688"/>
      <c r="AS688"/>
    </row>
    <row r="689" spans="1:45">
      <c r="A689" s="3"/>
      <c r="B689" s="3"/>
      <c r="C689" s="3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/>
      <c r="AK689"/>
      <c r="AL689"/>
      <c r="AM689"/>
      <c r="AN689"/>
      <c r="AO689"/>
      <c r="AP689"/>
      <c r="AQ689"/>
      <c r="AR689"/>
      <c r="AS689"/>
    </row>
    <row r="690" spans="1:45">
      <c r="A690" s="3"/>
      <c r="B690" s="3"/>
      <c r="C690" s="3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/>
      <c r="AK690"/>
      <c r="AL690"/>
      <c r="AM690"/>
      <c r="AN690"/>
      <c r="AO690"/>
      <c r="AP690"/>
      <c r="AQ690"/>
      <c r="AR690"/>
      <c r="AS690"/>
    </row>
    <row r="691" spans="1:45">
      <c r="A691" s="3"/>
      <c r="B691" s="3"/>
      <c r="C691" s="3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/>
      <c r="AK691"/>
      <c r="AL691"/>
      <c r="AM691"/>
      <c r="AN691"/>
      <c r="AO691"/>
      <c r="AP691"/>
      <c r="AQ691"/>
      <c r="AR691"/>
      <c r="AS691"/>
    </row>
    <row r="692" spans="1:45">
      <c r="A692" s="3"/>
      <c r="B692" s="3"/>
      <c r="C692" s="3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/>
      <c r="AK692"/>
      <c r="AL692"/>
      <c r="AM692"/>
      <c r="AN692"/>
      <c r="AO692"/>
      <c r="AP692"/>
      <c r="AQ692"/>
      <c r="AR692"/>
      <c r="AS692"/>
    </row>
    <row r="693" spans="1:45">
      <c r="A693" s="3"/>
      <c r="B693" s="3"/>
      <c r="C693" s="3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/>
      <c r="AK693"/>
      <c r="AL693"/>
      <c r="AM693"/>
      <c r="AN693"/>
      <c r="AO693"/>
      <c r="AP693"/>
      <c r="AQ693"/>
      <c r="AR693"/>
      <c r="AS693"/>
    </row>
    <row r="694" spans="1:45">
      <c r="A694" s="3"/>
      <c r="B694" s="3"/>
      <c r="C694" s="3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/>
      <c r="AK694"/>
      <c r="AL694"/>
      <c r="AM694"/>
      <c r="AN694"/>
      <c r="AO694"/>
      <c r="AP694"/>
      <c r="AQ694"/>
      <c r="AR694"/>
      <c r="AS694"/>
    </row>
    <row r="695" spans="1:45">
      <c r="A695" s="3"/>
      <c r="B695" s="3"/>
      <c r="C695" s="3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/>
      <c r="AK695"/>
      <c r="AL695"/>
      <c r="AM695"/>
      <c r="AN695"/>
      <c r="AO695"/>
      <c r="AP695"/>
      <c r="AQ695"/>
      <c r="AR695"/>
      <c r="AS695"/>
    </row>
    <row r="696" spans="1:45">
      <c r="A696" s="3"/>
      <c r="B696" s="3"/>
      <c r="C696" s="3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/>
      <c r="AK696"/>
      <c r="AL696"/>
      <c r="AM696"/>
      <c r="AN696"/>
      <c r="AO696"/>
      <c r="AP696"/>
      <c r="AQ696"/>
      <c r="AR696"/>
      <c r="AS696"/>
    </row>
    <row r="697" spans="1:45">
      <c r="A697" s="3"/>
      <c r="B697" s="3"/>
      <c r="C697" s="3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/>
      <c r="AK697"/>
      <c r="AL697"/>
      <c r="AM697"/>
      <c r="AN697"/>
      <c r="AO697"/>
      <c r="AP697"/>
      <c r="AQ697"/>
      <c r="AR697"/>
      <c r="AS697"/>
    </row>
    <row r="698" spans="1:45">
      <c r="A698" s="3"/>
      <c r="B698" s="3"/>
      <c r="C698" s="3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/>
      <c r="AK698"/>
      <c r="AL698"/>
      <c r="AM698"/>
      <c r="AN698"/>
      <c r="AO698"/>
      <c r="AP698"/>
      <c r="AQ698"/>
      <c r="AR698"/>
      <c r="AS698"/>
    </row>
    <row r="699" spans="1:45">
      <c r="A699" s="3"/>
      <c r="B699" s="3"/>
      <c r="C699" s="3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/>
      <c r="AK699"/>
      <c r="AL699"/>
      <c r="AM699"/>
      <c r="AN699"/>
      <c r="AO699"/>
      <c r="AP699"/>
      <c r="AQ699"/>
      <c r="AR699"/>
      <c r="AS699"/>
    </row>
    <row r="700" spans="1:45">
      <c r="A700" s="3"/>
      <c r="B700" s="3"/>
      <c r="C700" s="3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/>
      <c r="AK700"/>
      <c r="AL700"/>
      <c r="AM700"/>
      <c r="AN700"/>
      <c r="AO700"/>
      <c r="AP700"/>
      <c r="AQ700"/>
      <c r="AR700"/>
      <c r="AS700"/>
    </row>
    <row r="701" spans="1:45">
      <c r="A701" s="3"/>
      <c r="B701" s="3"/>
      <c r="C701" s="3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/>
      <c r="AK701"/>
      <c r="AL701"/>
      <c r="AM701"/>
      <c r="AN701"/>
      <c r="AO701"/>
      <c r="AP701"/>
      <c r="AQ701"/>
      <c r="AR701"/>
      <c r="AS701"/>
    </row>
    <row r="702" spans="1:45">
      <c r="A702" s="3"/>
      <c r="B702" s="3"/>
      <c r="C702" s="3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/>
      <c r="AK702"/>
      <c r="AL702"/>
      <c r="AM702"/>
      <c r="AN702"/>
      <c r="AO702"/>
      <c r="AP702"/>
      <c r="AQ702"/>
      <c r="AR702"/>
      <c r="AS702"/>
    </row>
    <row r="703" spans="1:45">
      <c r="A703" s="3"/>
      <c r="B703" s="3"/>
      <c r="C703" s="3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/>
      <c r="AK703"/>
      <c r="AL703"/>
      <c r="AM703"/>
      <c r="AN703"/>
      <c r="AO703"/>
      <c r="AP703"/>
      <c r="AQ703"/>
      <c r="AR703"/>
      <c r="AS703"/>
    </row>
    <row r="704" spans="1:45">
      <c r="A704" s="3"/>
      <c r="B704" s="3"/>
      <c r="C704" s="3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/>
      <c r="AK704"/>
      <c r="AL704"/>
      <c r="AM704"/>
      <c r="AN704"/>
      <c r="AO704"/>
      <c r="AP704"/>
      <c r="AQ704"/>
      <c r="AR704"/>
      <c r="AS704"/>
    </row>
    <row r="705" spans="1:45">
      <c r="A705" s="3"/>
      <c r="B705" s="3"/>
      <c r="C705" s="3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/>
      <c r="AK705"/>
      <c r="AL705"/>
      <c r="AM705"/>
      <c r="AN705"/>
      <c r="AO705"/>
      <c r="AP705"/>
      <c r="AQ705"/>
      <c r="AR705"/>
      <c r="AS705"/>
    </row>
    <row r="706" spans="1:45">
      <c r="A706" s="3"/>
      <c r="B706" s="3"/>
      <c r="C706" s="3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/>
      <c r="AK706"/>
      <c r="AL706"/>
      <c r="AM706"/>
      <c r="AN706"/>
      <c r="AO706"/>
      <c r="AP706"/>
      <c r="AQ706"/>
      <c r="AR706"/>
      <c r="AS706"/>
    </row>
    <row r="707" spans="1:45">
      <c r="A707" s="3"/>
      <c r="B707" s="3"/>
      <c r="C707" s="3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/>
      <c r="AK707"/>
      <c r="AL707"/>
      <c r="AM707"/>
      <c r="AN707"/>
      <c r="AO707"/>
      <c r="AP707"/>
      <c r="AQ707"/>
      <c r="AR707"/>
      <c r="AS707"/>
    </row>
    <row r="708" spans="1:45">
      <c r="A708" s="3"/>
      <c r="B708" s="3"/>
      <c r="C708" s="3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/>
      <c r="AK708"/>
      <c r="AL708"/>
      <c r="AM708"/>
      <c r="AN708"/>
      <c r="AO708"/>
      <c r="AP708"/>
      <c r="AQ708"/>
      <c r="AR708"/>
      <c r="AS708"/>
    </row>
    <row r="709" spans="1:45">
      <c r="A709" s="3"/>
      <c r="B709" s="3"/>
      <c r="C709" s="3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/>
      <c r="AK709"/>
      <c r="AL709"/>
      <c r="AM709"/>
      <c r="AN709"/>
      <c r="AO709"/>
      <c r="AP709"/>
      <c r="AQ709"/>
      <c r="AR709"/>
      <c r="AS709"/>
    </row>
    <row r="710" spans="1:45">
      <c r="A710" s="3"/>
      <c r="B710" s="3"/>
      <c r="C710" s="3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/>
      <c r="AK710"/>
      <c r="AL710"/>
      <c r="AM710"/>
      <c r="AN710"/>
      <c r="AO710"/>
      <c r="AP710"/>
      <c r="AQ710"/>
      <c r="AR710"/>
      <c r="AS710"/>
    </row>
    <row r="711" spans="1:45">
      <c r="A711" s="3"/>
      <c r="B711" s="3"/>
      <c r="C711" s="3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/>
      <c r="AK711"/>
      <c r="AL711"/>
      <c r="AM711"/>
      <c r="AN711"/>
      <c r="AO711"/>
      <c r="AP711"/>
      <c r="AQ711"/>
      <c r="AR711"/>
      <c r="AS711"/>
    </row>
    <row r="712" spans="1:45">
      <c r="A712" s="3"/>
      <c r="B712" s="3"/>
      <c r="C712" s="3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/>
      <c r="AK712"/>
      <c r="AL712"/>
      <c r="AM712"/>
      <c r="AN712"/>
      <c r="AO712"/>
      <c r="AP712"/>
      <c r="AQ712"/>
      <c r="AR712"/>
      <c r="AS712"/>
    </row>
    <row r="713" spans="1:45">
      <c r="A713" s="3"/>
      <c r="B713" s="3"/>
      <c r="C713" s="3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/>
      <c r="AK713"/>
      <c r="AL713"/>
      <c r="AM713"/>
      <c r="AN713"/>
      <c r="AO713"/>
      <c r="AP713"/>
      <c r="AQ713"/>
      <c r="AR713"/>
      <c r="AS713"/>
    </row>
    <row r="714" spans="1:45">
      <c r="A714" s="3"/>
      <c r="B714" s="3"/>
      <c r="C714" s="3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/>
      <c r="AK714"/>
      <c r="AL714"/>
      <c r="AM714"/>
      <c r="AN714"/>
      <c r="AO714"/>
      <c r="AP714"/>
      <c r="AQ714"/>
      <c r="AR714"/>
      <c r="AS714"/>
    </row>
    <row r="715" spans="1:45">
      <c r="A715" s="3"/>
      <c r="B715" s="3"/>
      <c r="C715" s="3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/>
      <c r="AK715"/>
      <c r="AL715"/>
      <c r="AM715"/>
      <c r="AN715"/>
      <c r="AO715"/>
      <c r="AP715"/>
      <c r="AQ715"/>
      <c r="AR715"/>
      <c r="AS715"/>
    </row>
    <row r="716" spans="1:45">
      <c r="A716" s="3"/>
      <c r="B716" s="3"/>
      <c r="C716" s="3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/>
      <c r="AK716"/>
      <c r="AL716"/>
      <c r="AM716"/>
      <c r="AN716"/>
      <c r="AO716"/>
      <c r="AP716"/>
      <c r="AQ716"/>
      <c r="AR716"/>
      <c r="AS716"/>
    </row>
    <row r="717" spans="1:45">
      <c r="A717" s="3"/>
      <c r="B717" s="3"/>
      <c r="C717" s="3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/>
      <c r="AK717"/>
      <c r="AL717"/>
      <c r="AM717"/>
      <c r="AN717"/>
      <c r="AO717"/>
      <c r="AP717"/>
      <c r="AQ717"/>
      <c r="AR717"/>
      <c r="AS717"/>
    </row>
    <row r="718" spans="1:45">
      <c r="A718" s="3"/>
      <c r="B718" s="3"/>
      <c r="C718" s="3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/>
      <c r="AK718"/>
      <c r="AL718"/>
      <c r="AM718"/>
      <c r="AN718"/>
      <c r="AO718"/>
      <c r="AP718"/>
      <c r="AQ718"/>
      <c r="AR718"/>
      <c r="AS718"/>
    </row>
    <row r="719" spans="1:45">
      <c r="A719" s="3"/>
      <c r="B719" s="3"/>
      <c r="C719" s="3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/>
      <c r="AK719"/>
      <c r="AL719"/>
      <c r="AM719"/>
      <c r="AN719"/>
      <c r="AO719"/>
      <c r="AP719"/>
      <c r="AQ719"/>
      <c r="AR719"/>
      <c r="AS719"/>
    </row>
    <row r="720" spans="1:45">
      <c r="A720" s="3"/>
      <c r="B720" s="3"/>
      <c r="C720" s="3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/>
      <c r="AK720"/>
      <c r="AL720"/>
      <c r="AM720"/>
      <c r="AN720"/>
      <c r="AO720"/>
      <c r="AP720"/>
      <c r="AQ720"/>
      <c r="AR720"/>
      <c r="AS720"/>
    </row>
    <row r="721" spans="1:45">
      <c r="A721" s="3"/>
      <c r="B721" s="3"/>
      <c r="C721" s="3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/>
      <c r="AK721"/>
      <c r="AL721"/>
      <c r="AM721"/>
      <c r="AN721"/>
      <c r="AO721"/>
      <c r="AP721"/>
      <c r="AQ721"/>
      <c r="AR721"/>
      <c r="AS721"/>
    </row>
    <row r="722" spans="1:45">
      <c r="A722" s="3"/>
      <c r="B722" s="3"/>
      <c r="C722" s="3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/>
      <c r="AK722"/>
      <c r="AL722"/>
      <c r="AM722"/>
      <c r="AN722"/>
      <c r="AO722"/>
      <c r="AP722"/>
      <c r="AQ722"/>
      <c r="AR722"/>
      <c r="AS722"/>
    </row>
    <row r="723" spans="1:45">
      <c r="A723" s="3"/>
      <c r="B723" s="3"/>
      <c r="C723" s="3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/>
      <c r="AK723"/>
      <c r="AL723"/>
      <c r="AM723"/>
      <c r="AN723"/>
      <c r="AO723"/>
      <c r="AP723"/>
      <c r="AQ723"/>
      <c r="AR723"/>
      <c r="AS723"/>
    </row>
    <row r="724" spans="1:45">
      <c r="A724" s="3"/>
      <c r="B724" s="3"/>
      <c r="C724" s="3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/>
      <c r="AK724"/>
      <c r="AL724"/>
      <c r="AM724"/>
      <c r="AN724"/>
      <c r="AO724"/>
      <c r="AP724"/>
      <c r="AQ724"/>
      <c r="AR724"/>
      <c r="AS724"/>
    </row>
    <row r="725" spans="1:45">
      <c r="A725" s="3"/>
      <c r="B725" s="3"/>
      <c r="C725" s="3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/>
      <c r="AK725"/>
      <c r="AL725"/>
      <c r="AM725"/>
      <c r="AN725"/>
      <c r="AO725"/>
      <c r="AP725"/>
      <c r="AQ725"/>
      <c r="AR725"/>
      <c r="AS725"/>
    </row>
    <row r="726" spans="1:45">
      <c r="A726" s="3"/>
      <c r="B726" s="3"/>
      <c r="C726" s="3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/>
      <c r="AK726"/>
      <c r="AL726"/>
      <c r="AM726"/>
      <c r="AN726"/>
      <c r="AO726"/>
      <c r="AP726"/>
      <c r="AQ726"/>
      <c r="AR726"/>
      <c r="AS726"/>
    </row>
    <row r="727" spans="1:45">
      <c r="A727" s="3"/>
      <c r="B727" s="3"/>
      <c r="C727" s="3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/>
      <c r="AK727"/>
      <c r="AL727"/>
      <c r="AM727"/>
      <c r="AN727"/>
      <c r="AO727"/>
      <c r="AP727"/>
      <c r="AQ727"/>
      <c r="AR727"/>
      <c r="AS727"/>
    </row>
    <row r="728" spans="1:45">
      <c r="A728" s="3"/>
      <c r="B728" s="3"/>
      <c r="C728" s="3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/>
      <c r="AK728"/>
      <c r="AL728"/>
      <c r="AM728"/>
      <c r="AN728"/>
      <c r="AO728"/>
      <c r="AP728"/>
      <c r="AQ728"/>
      <c r="AR728"/>
      <c r="AS728"/>
    </row>
    <row r="729" spans="1:45">
      <c r="A729" s="3"/>
      <c r="B729" s="3"/>
      <c r="C729" s="3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/>
      <c r="AK729"/>
      <c r="AL729"/>
      <c r="AM729"/>
      <c r="AN729"/>
      <c r="AO729"/>
      <c r="AP729"/>
      <c r="AQ729"/>
      <c r="AR729"/>
      <c r="AS729"/>
    </row>
    <row r="730" spans="1:45">
      <c r="A730" s="3"/>
      <c r="B730" s="3"/>
      <c r="C730" s="3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/>
      <c r="AK730"/>
      <c r="AL730"/>
      <c r="AM730"/>
      <c r="AN730"/>
      <c r="AO730"/>
      <c r="AP730"/>
      <c r="AQ730"/>
      <c r="AR730"/>
      <c r="AS730"/>
    </row>
    <row r="731" spans="1:45">
      <c r="A731" s="3"/>
      <c r="B731" s="3"/>
      <c r="C731" s="3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/>
      <c r="AK731"/>
      <c r="AL731"/>
      <c r="AM731"/>
      <c r="AN731"/>
      <c r="AO731"/>
      <c r="AP731"/>
      <c r="AQ731"/>
      <c r="AR731"/>
      <c r="AS731"/>
    </row>
    <row r="732" spans="1:45">
      <c r="A732" s="3"/>
      <c r="B732" s="3"/>
      <c r="C732" s="3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/>
      <c r="AK732"/>
      <c r="AL732"/>
      <c r="AM732"/>
      <c r="AN732"/>
      <c r="AO732"/>
      <c r="AP732"/>
      <c r="AQ732"/>
      <c r="AR732"/>
      <c r="AS732"/>
    </row>
    <row r="733" spans="1:45">
      <c r="A733" s="3"/>
      <c r="B733" s="3"/>
      <c r="C733" s="3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/>
      <c r="AK733"/>
      <c r="AL733"/>
      <c r="AM733"/>
      <c r="AN733"/>
      <c r="AO733"/>
      <c r="AP733"/>
      <c r="AQ733"/>
      <c r="AR733"/>
      <c r="AS733"/>
    </row>
    <row r="734" spans="1:45">
      <c r="A734" s="3"/>
      <c r="B734" s="3"/>
      <c r="C734" s="3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/>
      <c r="AK734"/>
      <c r="AL734"/>
      <c r="AM734"/>
      <c r="AN734"/>
      <c r="AO734"/>
      <c r="AP734"/>
      <c r="AQ734"/>
      <c r="AR734"/>
      <c r="AS734"/>
    </row>
    <row r="735" spans="1:45">
      <c r="A735" s="3"/>
      <c r="B735" s="3"/>
      <c r="C735" s="3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/>
      <c r="AK735"/>
      <c r="AL735"/>
      <c r="AM735"/>
      <c r="AN735"/>
      <c r="AO735"/>
      <c r="AP735"/>
      <c r="AQ735"/>
      <c r="AR735"/>
      <c r="AS735"/>
    </row>
    <row r="736" spans="1:45">
      <c r="A736" s="3"/>
      <c r="B736" s="3"/>
      <c r="C736" s="3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/>
      <c r="AK736"/>
      <c r="AL736"/>
      <c r="AM736"/>
      <c r="AN736"/>
      <c r="AO736"/>
      <c r="AP736"/>
      <c r="AQ736"/>
      <c r="AR736"/>
      <c r="AS736"/>
    </row>
    <row r="737" spans="1:45">
      <c r="A737" s="3"/>
      <c r="B737" s="3"/>
      <c r="C737" s="3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/>
      <c r="AK737"/>
      <c r="AL737"/>
      <c r="AM737"/>
      <c r="AN737"/>
      <c r="AO737"/>
      <c r="AP737"/>
      <c r="AQ737"/>
      <c r="AR737"/>
      <c r="AS737"/>
    </row>
    <row r="738" spans="1:45">
      <c r="A738" s="3"/>
      <c r="B738" s="3"/>
      <c r="C738" s="3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/>
      <c r="AK738"/>
      <c r="AL738"/>
      <c r="AM738"/>
      <c r="AN738"/>
      <c r="AO738"/>
      <c r="AP738"/>
      <c r="AQ738"/>
      <c r="AR738"/>
      <c r="AS738"/>
    </row>
    <row r="739" spans="1:45">
      <c r="A739" s="3"/>
      <c r="B739" s="3"/>
      <c r="C739" s="3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/>
      <c r="AK739"/>
      <c r="AL739"/>
      <c r="AM739"/>
      <c r="AN739"/>
      <c r="AO739"/>
      <c r="AP739"/>
      <c r="AQ739"/>
      <c r="AR739"/>
      <c r="AS739"/>
    </row>
    <row r="740" spans="1:45">
      <c r="A740" s="3"/>
      <c r="B740" s="3"/>
      <c r="C740" s="3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/>
      <c r="AK740"/>
      <c r="AL740"/>
      <c r="AM740"/>
      <c r="AN740"/>
      <c r="AO740"/>
      <c r="AP740"/>
      <c r="AQ740"/>
      <c r="AR740"/>
      <c r="AS740"/>
    </row>
    <row r="741" spans="1:45">
      <c r="A741" s="3"/>
      <c r="B741" s="3"/>
      <c r="C741" s="3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/>
      <c r="AK741"/>
      <c r="AL741"/>
      <c r="AM741"/>
      <c r="AN741"/>
      <c r="AO741"/>
      <c r="AP741"/>
      <c r="AQ741"/>
      <c r="AR741"/>
      <c r="AS741"/>
    </row>
    <row r="742" spans="1:45">
      <c r="A742" s="3"/>
      <c r="B742" s="3"/>
      <c r="C742" s="3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/>
      <c r="AK742"/>
      <c r="AL742"/>
      <c r="AM742"/>
      <c r="AN742"/>
      <c r="AO742"/>
      <c r="AP742"/>
      <c r="AQ742"/>
      <c r="AR742"/>
      <c r="AS742"/>
    </row>
    <row r="743" spans="1:45">
      <c r="A743" s="3"/>
      <c r="B743" s="3"/>
      <c r="C743" s="3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/>
      <c r="AK743"/>
      <c r="AL743"/>
      <c r="AM743"/>
      <c r="AN743"/>
      <c r="AO743"/>
      <c r="AP743"/>
      <c r="AQ743"/>
      <c r="AR743"/>
      <c r="AS743"/>
    </row>
    <row r="744" spans="1:45">
      <c r="A744" s="3"/>
      <c r="B744" s="3"/>
      <c r="C744" s="3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/>
      <c r="AK744"/>
      <c r="AL744"/>
      <c r="AM744"/>
      <c r="AN744"/>
      <c r="AO744"/>
      <c r="AP744"/>
      <c r="AQ744"/>
      <c r="AR744"/>
      <c r="AS744"/>
    </row>
    <row r="745" spans="1:45">
      <c r="A745" s="3"/>
      <c r="B745" s="3"/>
      <c r="C745" s="3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/>
      <c r="AK745"/>
      <c r="AL745"/>
      <c r="AM745"/>
      <c r="AN745"/>
      <c r="AO745"/>
      <c r="AP745"/>
      <c r="AQ745"/>
      <c r="AR745"/>
      <c r="AS745"/>
    </row>
    <row r="746" spans="1:45">
      <c r="A746" s="3"/>
      <c r="B746" s="3"/>
      <c r="C746" s="3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/>
      <c r="AK746"/>
      <c r="AL746"/>
      <c r="AM746"/>
      <c r="AN746"/>
      <c r="AO746"/>
      <c r="AP746"/>
      <c r="AQ746"/>
      <c r="AR746"/>
      <c r="AS746"/>
    </row>
    <row r="747" spans="1:45">
      <c r="A747" s="3"/>
      <c r="B747" s="3"/>
      <c r="C747" s="3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/>
      <c r="AK747"/>
      <c r="AL747"/>
      <c r="AM747"/>
      <c r="AN747"/>
      <c r="AO747"/>
      <c r="AP747"/>
      <c r="AQ747"/>
      <c r="AR747"/>
      <c r="AS747"/>
    </row>
    <row r="748" spans="1:45">
      <c r="A748" s="3"/>
      <c r="B748" s="3"/>
      <c r="C748" s="3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/>
      <c r="AK748"/>
      <c r="AL748"/>
      <c r="AM748"/>
      <c r="AN748"/>
      <c r="AO748"/>
      <c r="AP748"/>
      <c r="AQ748"/>
      <c r="AR748"/>
      <c r="AS748"/>
    </row>
    <row r="749" spans="1:45">
      <c r="A749" s="3"/>
      <c r="B749" s="3"/>
      <c r="C749" s="3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/>
      <c r="AK749"/>
      <c r="AL749"/>
      <c r="AM749"/>
      <c r="AN749"/>
      <c r="AO749"/>
      <c r="AP749"/>
      <c r="AQ749"/>
      <c r="AR749"/>
      <c r="AS749"/>
    </row>
    <row r="750" spans="1:45">
      <c r="A750" s="3"/>
      <c r="B750" s="3"/>
      <c r="C750" s="3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/>
      <c r="AK750"/>
      <c r="AL750"/>
      <c r="AM750"/>
      <c r="AN750"/>
      <c r="AO750"/>
      <c r="AP750"/>
      <c r="AQ750"/>
      <c r="AR750"/>
      <c r="AS750"/>
    </row>
    <row r="751" spans="1:45">
      <c r="A751" s="3"/>
      <c r="B751" s="3"/>
      <c r="C751" s="3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/>
      <c r="AK751"/>
      <c r="AL751"/>
      <c r="AM751"/>
      <c r="AN751"/>
      <c r="AO751"/>
      <c r="AP751"/>
      <c r="AQ751"/>
      <c r="AR751"/>
      <c r="AS751"/>
    </row>
    <row r="752" spans="1:45">
      <c r="A752" s="3"/>
      <c r="B752" s="3"/>
      <c r="C752" s="3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/>
      <c r="AK752"/>
      <c r="AL752"/>
      <c r="AM752"/>
      <c r="AN752"/>
      <c r="AO752"/>
      <c r="AP752"/>
      <c r="AQ752"/>
      <c r="AR752"/>
      <c r="AS752"/>
    </row>
    <row r="753" spans="1:45">
      <c r="A753" s="3"/>
      <c r="B753" s="3"/>
      <c r="C753" s="3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/>
      <c r="AK753"/>
      <c r="AL753"/>
      <c r="AM753"/>
      <c r="AN753"/>
      <c r="AO753"/>
      <c r="AP753"/>
      <c r="AQ753"/>
      <c r="AR753"/>
      <c r="AS753"/>
    </row>
    <row r="754" spans="1:45">
      <c r="A754" s="3"/>
      <c r="B754" s="3"/>
      <c r="C754" s="3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/>
      <c r="AK754"/>
      <c r="AL754"/>
      <c r="AM754"/>
      <c r="AN754"/>
      <c r="AO754"/>
      <c r="AP754"/>
      <c r="AQ754"/>
      <c r="AR754"/>
      <c r="AS754"/>
    </row>
    <row r="755" spans="1:45">
      <c r="A755" s="3"/>
      <c r="B755" s="3"/>
      <c r="C755" s="3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/>
      <c r="AK755"/>
      <c r="AL755"/>
      <c r="AM755"/>
      <c r="AN755"/>
      <c r="AO755"/>
      <c r="AP755"/>
      <c r="AQ755"/>
      <c r="AR755"/>
      <c r="AS755"/>
    </row>
    <row r="756" spans="1:45">
      <c r="A756" s="3"/>
      <c r="B756" s="3"/>
      <c r="C756" s="3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/>
      <c r="AK756"/>
      <c r="AL756"/>
      <c r="AM756"/>
      <c r="AN756"/>
      <c r="AO756"/>
      <c r="AP756"/>
      <c r="AQ756"/>
      <c r="AR756"/>
      <c r="AS756"/>
    </row>
    <row r="757" spans="1:45">
      <c r="A757" s="3"/>
      <c r="B757" s="3"/>
      <c r="C757" s="3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/>
      <c r="AK757"/>
      <c r="AL757"/>
      <c r="AM757"/>
      <c r="AN757"/>
      <c r="AO757"/>
      <c r="AP757"/>
      <c r="AQ757"/>
      <c r="AR757"/>
      <c r="AS757"/>
    </row>
    <row r="758" spans="1:45">
      <c r="A758" s="3"/>
      <c r="B758" s="3"/>
      <c r="C758" s="3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/>
      <c r="AK758"/>
      <c r="AL758"/>
      <c r="AM758"/>
      <c r="AN758"/>
      <c r="AO758"/>
      <c r="AP758"/>
      <c r="AQ758"/>
      <c r="AR758"/>
      <c r="AS758"/>
    </row>
    <row r="759" spans="1:45">
      <c r="A759" s="3"/>
      <c r="B759" s="3"/>
      <c r="C759" s="3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/>
      <c r="AK759"/>
      <c r="AL759"/>
      <c r="AM759"/>
      <c r="AN759"/>
      <c r="AO759"/>
      <c r="AP759"/>
      <c r="AQ759"/>
      <c r="AR759"/>
      <c r="AS759"/>
    </row>
    <row r="760" spans="1:45">
      <c r="A760" s="3"/>
      <c r="B760" s="3"/>
      <c r="C760" s="3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/>
      <c r="AK760"/>
      <c r="AL760"/>
      <c r="AM760"/>
      <c r="AN760"/>
      <c r="AO760"/>
      <c r="AP760"/>
      <c r="AQ760"/>
      <c r="AR760"/>
      <c r="AS760"/>
    </row>
    <row r="761" spans="1:45">
      <c r="A761" s="3"/>
      <c r="B761" s="3"/>
      <c r="C761" s="3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/>
      <c r="AK761"/>
      <c r="AL761"/>
      <c r="AM761"/>
      <c r="AN761"/>
      <c r="AO761"/>
      <c r="AP761"/>
      <c r="AQ761"/>
      <c r="AR761"/>
      <c r="AS761"/>
    </row>
    <row r="762" spans="1:45">
      <c r="A762" s="3"/>
      <c r="B762" s="3"/>
      <c r="C762" s="3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/>
      <c r="AK762"/>
      <c r="AL762"/>
      <c r="AM762"/>
      <c r="AN762"/>
      <c r="AO762"/>
      <c r="AP762"/>
      <c r="AQ762"/>
      <c r="AR762"/>
      <c r="AS762"/>
    </row>
    <row r="763" spans="1:45">
      <c r="A763" s="3"/>
      <c r="B763" s="3"/>
      <c r="C763" s="3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/>
      <c r="AK763"/>
      <c r="AL763"/>
      <c r="AM763"/>
      <c r="AN763"/>
      <c r="AO763"/>
      <c r="AP763"/>
      <c r="AQ763"/>
      <c r="AR763"/>
      <c r="AS763"/>
    </row>
    <row r="764" spans="1:45">
      <c r="A764" s="3"/>
      <c r="B764" s="3"/>
      <c r="C764" s="3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/>
      <c r="AK764"/>
      <c r="AL764"/>
      <c r="AM764"/>
      <c r="AN764"/>
      <c r="AO764"/>
      <c r="AP764"/>
      <c r="AQ764"/>
      <c r="AR764"/>
      <c r="AS764"/>
    </row>
    <row r="765" spans="1:45">
      <c r="A765" s="3"/>
      <c r="B765" s="3"/>
      <c r="C765" s="3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/>
      <c r="AK765"/>
      <c r="AL765"/>
      <c r="AM765"/>
      <c r="AN765"/>
      <c r="AO765"/>
      <c r="AP765"/>
      <c r="AQ765"/>
      <c r="AR765"/>
      <c r="AS765"/>
    </row>
    <row r="766" spans="1:45">
      <c r="A766" s="3"/>
      <c r="B766" s="3"/>
      <c r="C766" s="3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/>
      <c r="AK766"/>
      <c r="AL766"/>
      <c r="AM766"/>
      <c r="AN766"/>
      <c r="AO766"/>
      <c r="AP766"/>
      <c r="AQ766"/>
      <c r="AR766"/>
      <c r="AS766"/>
    </row>
    <row r="767" spans="1:45">
      <c r="A767" s="3"/>
      <c r="B767" s="3"/>
      <c r="C767" s="3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/>
      <c r="AK767"/>
      <c r="AL767"/>
      <c r="AM767"/>
      <c r="AN767"/>
      <c r="AO767"/>
      <c r="AP767"/>
      <c r="AQ767"/>
      <c r="AR767"/>
      <c r="AS767"/>
    </row>
    <row r="768" spans="1:45">
      <c r="A768" s="3"/>
      <c r="B768" s="3"/>
      <c r="C768" s="3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/>
      <c r="AK768"/>
      <c r="AL768"/>
      <c r="AM768"/>
      <c r="AN768"/>
      <c r="AO768"/>
      <c r="AP768"/>
      <c r="AQ768"/>
      <c r="AR768"/>
      <c r="AS768"/>
    </row>
    <row r="769" spans="1:45">
      <c r="A769" s="3"/>
      <c r="B769" s="3"/>
      <c r="C769" s="3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/>
      <c r="AK769"/>
      <c r="AL769"/>
      <c r="AM769"/>
      <c r="AN769"/>
      <c r="AO769"/>
      <c r="AP769"/>
      <c r="AQ769"/>
      <c r="AR769"/>
      <c r="AS769"/>
    </row>
    <row r="770" spans="1:45">
      <c r="A770" s="3"/>
      <c r="B770" s="3"/>
      <c r="C770" s="3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/>
      <c r="AK770"/>
      <c r="AL770"/>
      <c r="AM770"/>
      <c r="AN770"/>
      <c r="AO770"/>
      <c r="AP770"/>
      <c r="AQ770"/>
      <c r="AR770"/>
      <c r="AS770"/>
    </row>
    <row r="771" spans="1:45">
      <c r="A771" s="3"/>
      <c r="B771" s="3"/>
      <c r="C771" s="3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/>
      <c r="AK771"/>
      <c r="AL771"/>
      <c r="AM771"/>
      <c r="AN771"/>
      <c r="AO771"/>
      <c r="AP771"/>
      <c r="AQ771"/>
      <c r="AR771"/>
      <c r="AS771"/>
    </row>
    <row r="772" spans="1:45">
      <c r="A772" s="3"/>
      <c r="B772" s="3"/>
      <c r="C772" s="3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/>
      <c r="AK772"/>
      <c r="AL772"/>
      <c r="AM772"/>
      <c r="AN772"/>
      <c r="AO772"/>
      <c r="AP772"/>
      <c r="AQ772"/>
      <c r="AR772"/>
      <c r="AS772"/>
    </row>
    <row r="773" spans="1:45">
      <c r="A773" s="3"/>
      <c r="B773" s="3"/>
      <c r="C773" s="3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/>
      <c r="AK773"/>
      <c r="AL773"/>
      <c r="AM773"/>
      <c r="AN773"/>
      <c r="AO773"/>
      <c r="AP773"/>
      <c r="AQ773"/>
      <c r="AR773"/>
      <c r="AS773"/>
    </row>
    <row r="774" spans="1:45">
      <c r="A774" s="3"/>
      <c r="B774" s="3"/>
      <c r="C774" s="3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/>
      <c r="AK774"/>
      <c r="AL774"/>
      <c r="AM774"/>
      <c r="AN774"/>
      <c r="AO774"/>
      <c r="AP774"/>
      <c r="AQ774"/>
      <c r="AR774"/>
      <c r="AS774"/>
    </row>
    <row r="775" spans="1:45">
      <c r="A775" s="3"/>
      <c r="B775" s="3"/>
      <c r="C775" s="3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/>
      <c r="AK775"/>
      <c r="AL775"/>
      <c r="AM775"/>
      <c r="AN775"/>
      <c r="AO775"/>
      <c r="AP775"/>
      <c r="AQ775"/>
      <c r="AR775"/>
      <c r="AS775"/>
    </row>
    <row r="776" spans="1:45">
      <c r="A776" s="3"/>
      <c r="B776" s="3"/>
      <c r="C776" s="3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/>
      <c r="AK776"/>
      <c r="AL776"/>
      <c r="AM776"/>
      <c r="AN776"/>
      <c r="AO776"/>
      <c r="AP776"/>
      <c r="AQ776"/>
      <c r="AR776"/>
      <c r="AS776"/>
    </row>
    <row r="777" spans="1:45">
      <c r="A777" s="3"/>
      <c r="B777" s="3"/>
      <c r="C777" s="3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/>
      <c r="AK777"/>
      <c r="AL777"/>
      <c r="AM777"/>
      <c r="AN777"/>
      <c r="AO777"/>
      <c r="AP777"/>
      <c r="AQ777"/>
      <c r="AR777"/>
      <c r="AS777"/>
    </row>
    <row r="778" spans="1:45">
      <c r="A778" s="3"/>
      <c r="B778" s="3"/>
      <c r="C778" s="3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/>
      <c r="AK778"/>
      <c r="AL778"/>
      <c r="AM778"/>
      <c r="AN778"/>
      <c r="AO778"/>
      <c r="AP778"/>
      <c r="AQ778"/>
      <c r="AR778"/>
      <c r="AS778"/>
    </row>
    <row r="779" spans="1:45">
      <c r="A779" s="3"/>
      <c r="B779" s="3"/>
      <c r="C779" s="3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/>
      <c r="AK779"/>
      <c r="AL779"/>
      <c r="AM779"/>
      <c r="AN779"/>
      <c r="AO779"/>
      <c r="AP779"/>
      <c r="AQ779"/>
      <c r="AR779"/>
      <c r="AS779"/>
    </row>
    <row r="780" spans="1:45">
      <c r="A780" s="3"/>
      <c r="B780" s="3"/>
      <c r="C780" s="3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/>
      <c r="AK780"/>
      <c r="AL780"/>
      <c r="AM780"/>
      <c r="AN780"/>
      <c r="AO780"/>
      <c r="AP780"/>
      <c r="AQ780"/>
      <c r="AR780"/>
      <c r="AS780"/>
    </row>
    <row r="781" spans="1:45">
      <c r="A781" s="3"/>
      <c r="B781" s="3"/>
      <c r="C781" s="3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/>
      <c r="AK781"/>
      <c r="AL781"/>
      <c r="AM781"/>
      <c r="AN781"/>
      <c r="AO781"/>
      <c r="AP781"/>
      <c r="AQ781"/>
      <c r="AR781"/>
      <c r="AS781"/>
    </row>
    <row r="782" spans="1:45">
      <c r="A782" s="3"/>
      <c r="B782" s="3"/>
      <c r="C782" s="3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/>
      <c r="AK782"/>
      <c r="AL782"/>
      <c r="AM782"/>
      <c r="AN782"/>
      <c r="AO782"/>
      <c r="AP782"/>
      <c r="AQ782"/>
      <c r="AR782"/>
      <c r="AS782"/>
    </row>
    <row r="783" spans="1:45">
      <c r="A783" s="3"/>
      <c r="B783" s="3"/>
      <c r="C783" s="3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/>
      <c r="AK783"/>
      <c r="AL783"/>
      <c r="AM783"/>
      <c r="AN783"/>
      <c r="AO783"/>
      <c r="AP783"/>
      <c r="AQ783"/>
      <c r="AR783"/>
      <c r="AS783"/>
    </row>
    <row r="784" spans="1:45">
      <c r="A784" s="3"/>
      <c r="B784" s="3"/>
      <c r="C784" s="3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/>
      <c r="AK784"/>
      <c r="AL784"/>
      <c r="AM784"/>
      <c r="AN784"/>
      <c r="AO784"/>
      <c r="AP784"/>
      <c r="AQ784"/>
      <c r="AR784"/>
      <c r="AS784"/>
    </row>
    <row r="785" spans="1:45">
      <c r="A785" s="3"/>
      <c r="B785" s="3"/>
      <c r="C785" s="3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/>
      <c r="AK785"/>
      <c r="AL785"/>
      <c r="AM785"/>
      <c r="AN785"/>
      <c r="AO785"/>
      <c r="AP785"/>
      <c r="AQ785"/>
      <c r="AR785"/>
      <c r="AS785"/>
    </row>
    <row r="786" spans="1:45">
      <c r="A786" s="3"/>
      <c r="B786" s="3"/>
      <c r="C786" s="3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/>
      <c r="AK786"/>
      <c r="AL786"/>
      <c r="AM786"/>
      <c r="AN786"/>
      <c r="AO786"/>
      <c r="AP786"/>
      <c r="AQ786"/>
      <c r="AR786"/>
      <c r="AS786"/>
    </row>
    <row r="787" spans="1:45">
      <c r="A787" s="3"/>
      <c r="B787" s="3"/>
      <c r="C787" s="3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/>
      <c r="AK787"/>
      <c r="AL787"/>
      <c r="AM787"/>
      <c r="AN787"/>
      <c r="AO787"/>
      <c r="AP787"/>
      <c r="AQ787"/>
      <c r="AR787"/>
      <c r="AS787"/>
    </row>
    <row r="788" spans="1:45">
      <c r="A788" s="3"/>
      <c r="B788" s="3"/>
      <c r="C788" s="3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/>
      <c r="AK788"/>
      <c r="AL788"/>
      <c r="AM788"/>
      <c r="AN788"/>
      <c r="AO788"/>
      <c r="AP788"/>
      <c r="AQ788"/>
      <c r="AR788"/>
      <c r="AS788"/>
    </row>
    <row r="789" spans="1:45">
      <c r="A789" s="3"/>
      <c r="B789" s="3"/>
      <c r="C789" s="3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/>
      <c r="AK789"/>
      <c r="AL789"/>
      <c r="AM789"/>
      <c r="AN789"/>
      <c r="AO789"/>
      <c r="AP789"/>
      <c r="AQ789"/>
      <c r="AR789"/>
      <c r="AS789"/>
    </row>
    <row r="790" spans="1:45">
      <c r="A790" s="3"/>
      <c r="B790" s="3"/>
      <c r="C790" s="3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/>
      <c r="AK790"/>
      <c r="AL790"/>
      <c r="AM790"/>
      <c r="AN790"/>
      <c r="AO790"/>
      <c r="AP790"/>
      <c r="AQ790"/>
      <c r="AR790"/>
      <c r="AS790"/>
    </row>
    <row r="791" spans="1:45">
      <c r="A791" s="3"/>
      <c r="B791" s="3"/>
      <c r="C791" s="3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/>
      <c r="AK791"/>
      <c r="AL791"/>
      <c r="AM791"/>
      <c r="AN791"/>
      <c r="AO791"/>
      <c r="AP791"/>
      <c r="AQ791"/>
      <c r="AR791"/>
      <c r="AS791"/>
    </row>
    <row r="792" spans="1:45">
      <c r="A792" s="3"/>
      <c r="B792" s="3"/>
      <c r="C792" s="3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/>
      <c r="AK792"/>
      <c r="AL792"/>
      <c r="AM792"/>
      <c r="AN792"/>
      <c r="AO792"/>
      <c r="AP792"/>
      <c r="AQ792"/>
      <c r="AR792"/>
      <c r="AS792"/>
    </row>
    <row r="793" spans="1:45">
      <c r="A793" s="3"/>
      <c r="B793" s="3"/>
      <c r="C793" s="3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/>
      <c r="AK793"/>
      <c r="AL793"/>
      <c r="AM793"/>
      <c r="AN793"/>
      <c r="AO793"/>
      <c r="AP793"/>
      <c r="AQ793"/>
      <c r="AR793"/>
      <c r="AS793"/>
    </row>
    <row r="794" spans="1:45">
      <c r="A794" s="3"/>
      <c r="B794" s="3"/>
      <c r="C794" s="3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/>
      <c r="AK794"/>
      <c r="AL794"/>
      <c r="AM794"/>
      <c r="AN794"/>
      <c r="AO794"/>
      <c r="AP794"/>
      <c r="AQ794"/>
      <c r="AR794"/>
      <c r="AS794"/>
    </row>
    <row r="795" spans="1:45">
      <c r="A795" s="3"/>
      <c r="B795" s="3"/>
      <c r="C795" s="3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/>
      <c r="AK795"/>
      <c r="AL795"/>
      <c r="AM795"/>
      <c r="AN795"/>
      <c r="AO795"/>
      <c r="AP795"/>
      <c r="AQ795"/>
      <c r="AR795"/>
      <c r="AS795"/>
    </row>
    <row r="796" spans="1:45">
      <c r="A796" s="3"/>
      <c r="B796" s="3"/>
      <c r="C796" s="3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/>
      <c r="AK796"/>
      <c r="AL796"/>
      <c r="AM796"/>
      <c r="AN796"/>
      <c r="AO796"/>
      <c r="AP796"/>
      <c r="AQ796"/>
      <c r="AR796"/>
      <c r="AS796"/>
    </row>
    <row r="797" spans="1:45">
      <c r="A797" s="3"/>
      <c r="B797" s="3"/>
      <c r="C797" s="3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/>
      <c r="AK797"/>
      <c r="AL797"/>
      <c r="AM797"/>
      <c r="AN797"/>
      <c r="AO797"/>
      <c r="AP797"/>
      <c r="AQ797"/>
      <c r="AR797"/>
      <c r="AS797"/>
    </row>
    <row r="798" spans="1:45">
      <c r="A798" s="3"/>
      <c r="B798" s="3"/>
      <c r="C798" s="3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/>
      <c r="AK798"/>
      <c r="AL798"/>
      <c r="AM798"/>
      <c r="AN798"/>
      <c r="AO798"/>
      <c r="AP798"/>
      <c r="AQ798"/>
      <c r="AR798"/>
      <c r="AS798"/>
    </row>
    <row r="799" spans="1:45">
      <c r="A799" s="3"/>
      <c r="B799" s="3"/>
      <c r="C799" s="3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/>
      <c r="AK799"/>
      <c r="AL799"/>
      <c r="AM799"/>
      <c r="AN799"/>
      <c r="AO799"/>
      <c r="AP799"/>
      <c r="AQ799"/>
      <c r="AR799"/>
      <c r="AS799"/>
    </row>
    <row r="800" spans="1:45">
      <c r="A800" s="3"/>
      <c r="B800" s="3"/>
      <c r="C800" s="3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/>
      <c r="AK800"/>
      <c r="AL800"/>
      <c r="AM800"/>
      <c r="AN800"/>
      <c r="AO800"/>
      <c r="AP800"/>
      <c r="AQ800"/>
      <c r="AR800"/>
      <c r="AS800"/>
    </row>
    <row r="801" spans="1:45">
      <c r="A801" s="3"/>
      <c r="B801" s="3"/>
      <c r="C801" s="3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/>
      <c r="AK801"/>
      <c r="AL801"/>
      <c r="AM801"/>
      <c r="AN801"/>
      <c r="AO801"/>
      <c r="AP801"/>
      <c r="AQ801"/>
      <c r="AR801"/>
      <c r="AS801"/>
    </row>
    <row r="802" spans="1:45">
      <c r="A802" s="3"/>
      <c r="B802" s="3"/>
      <c r="C802" s="3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/>
      <c r="AK802"/>
      <c r="AL802"/>
      <c r="AM802"/>
      <c r="AN802"/>
      <c r="AO802"/>
      <c r="AP802"/>
      <c r="AQ802"/>
      <c r="AR802"/>
      <c r="AS802"/>
    </row>
    <row r="803" spans="1:45">
      <c r="A803" s="3"/>
      <c r="B803" s="3"/>
      <c r="C803" s="3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/>
      <c r="AK803"/>
      <c r="AL803"/>
      <c r="AM803"/>
      <c r="AN803"/>
      <c r="AO803"/>
      <c r="AP803"/>
      <c r="AQ803"/>
      <c r="AR803"/>
      <c r="AS803"/>
    </row>
    <row r="804" spans="1:45">
      <c r="A804" s="3"/>
      <c r="B804" s="3"/>
      <c r="C804" s="3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/>
      <c r="AK804"/>
      <c r="AL804"/>
      <c r="AM804"/>
      <c r="AN804"/>
      <c r="AO804"/>
      <c r="AP804"/>
      <c r="AQ804"/>
      <c r="AR804"/>
      <c r="AS804"/>
    </row>
    <row r="805" spans="1:45">
      <c r="A805" s="3"/>
      <c r="B805" s="3"/>
      <c r="C805" s="3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/>
      <c r="AK805"/>
      <c r="AL805"/>
      <c r="AM805"/>
      <c r="AN805"/>
      <c r="AO805"/>
      <c r="AP805"/>
      <c r="AQ805"/>
      <c r="AR805"/>
      <c r="AS805"/>
    </row>
    <row r="806" spans="1:45">
      <c r="A806" s="3"/>
      <c r="B806" s="3"/>
      <c r="C806" s="3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/>
      <c r="AK806"/>
      <c r="AL806"/>
      <c r="AM806"/>
      <c r="AN806"/>
      <c r="AO806"/>
      <c r="AP806"/>
      <c r="AQ806"/>
      <c r="AR806"/>
      <c r="AS806"/>
    </row>
    <row r="807" spans="1:45">
      <c r="A807" s="3"/>
      <c r="B807" s="3"/>
      <c r="C807" s="3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/>
      <c r="AK807"/>
      <c r="AL807"/>
      <c r="AM807"/>
      <c r="AN807"/>
      <c r="AO807"/>
      <c r="AP807"/>
      <c r="AQ807"/>
      <c r="AR807"/>
      <c r="AS807"/>
    </row>
    <row r="808" spans="1:45">
      <c r="A808" s="3"/>
      <c r="B808" s="3"/>
      <c r="C808" s="3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/>
      <c r="AK808"/>
      <c r="AL808"/>
      <c r="AM808"/>
      <c r="AN808"/>
      <c r="AO808"/>
      <c r="AP808"/>
      <c r="AQ808"/>
      <c r="AR808"/>
      <c r="AS808"/>
    </row>
    <row r="809" spans="1:45">
      <c r="A809" s="3"/>
      <c r="B809" s="3"/>
      <c r="C809" s="3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/>
      <c r="AK809"/>
      <c r="AL809"/>
      <c r="AM809"/>
      <c r="AN809"/>
      <c r="AO809"/>
      <c r="AP809"/>
      <c r="AQ809"/>
      <c r="AR809"/>
      <c r="AS809"/>
    </row>
    <row r="810" spans="1:45">
      <c r="A810" s="3"/>
      <c r="B810" s="3"/>
      <c r="C810" s="3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/>
      <c r="AK810"/>
      <c r="AL810"/>
      <c r="AM810"/>
      <c r="AN810"/>
      <c r="AO810"/>
      <c r="AP810"/>
      <c r="AQ810"/>
      <c r="AR810"/>
      <c r="AS810"/>
    </row>
    <row r="811" spans="1:45">
      <c r="A811" s="3"/>
      <c r="B811" s="3"/>
      <c r="C811" s="3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/>
      <c r="AK811"/>
      <c r="AL811"/>
      <c r="AM811"/>
      <c r="AN811"/>
      <c r="AO811"/>
      <c r="AP811"/>
      <c r="AQ811"/>
      <c r="AR811"/>
      <c r="AS811"/>
    </row>
    <row r="812" spans="1:45">
      <c r="A812" s="3"/>
      <c r="B812" s="3"/>
      <c r="C812" s="3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/>
      <c r="AK812"/>
      <c r="AL812"/>
      <c r="AM812"/>
      <c r="AN812"/>
      <c r="AO812"/>
      <c r="AP812"/>
      <c r="AQ812"/>
      <c r="AR812"/>
      <c r="AS812"/>
    </row>
    <row r="813" spans="1:45">
      <c r="A813" s="3"/>
      <c r="B813" s="3"/>
      <c r="C813" s="3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/>
      <c r="AK813"/>
      <c r="AL813"/>
      <c r="AM813"/>
      <c r="AN813"/>
      <c r="AO813"/>
      <c r="AP813"/>
      <c r="AQ813"/>
      <c r="AR813"/>
      <c r="AS813"/>
    </row>
    <row r="814" spans="1:45">
      <c r="A814" s="3"/>
      <c r="B814" s="3"/>
      <c r="C814" s="3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/>
      <c r="AK814"/>
      <c r="AL814"/>
      <c r="AM814"/>
      <c r="AN814"/>
      <c r="AO814"/>
      <c r="AP814"/>
      <c r="AQ814"/>
      <c r="AR814"/>
      <c r="AS814"/>
    </row>
    <row r="815" spans="1:45">
      <c r="A815" s="3"/>
      <c r="B815" s="3"/>
      <c r="C815" s="3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/>
      <c r="AK815"/>
      <c r="AL815"/>
      <c r="AM815"/>
      <c r="AN815"/>
      <c r="AO815"/>
      <c r="AP815"/>
      <c r="AQ815"/>
      <c r="AR815"/>
      <c r="AS815"/>
    </row>
    <row r="816" spans="1:45">
      <c r="A816" s="3"/>
      <c r="B816" s="3"/>
      <c r="C816" s="3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/>
      <c r="AK816"/>
      <c r="AL816"/>
      <c r="AM816"/>
      <c r="AN816"/>
      <c r="AO816"/>
      <c r="AP816"/>
      <c r="AQ816"/>
      <c r="AR816"/>
      <c r="AS816"/>
    </row>
    <row r="817" spans="1:45">
      <c r="A817" s="3"/>
      <c r="B817" s="3"/>
      <c r="C817" s="3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/>
      <c r="AK817"/>
      <c r="AL817"/>
      <c r="AM817"/>
      <c r="AN817"/>
      <c r="AO817"/>
      <c r="AP817"/>
      <c r="AQ817"/>
      <c r="AR817"/>
      <c r="AS817"/>
    </row>
    <row r="818" spans="1:45">
      <c r="A818" s="3"/>
      <c r="B818" s="3"/>
      <c r="C818" s="3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/>
      <c r="AK818"/>
      <c r="AL818"/>
      <c r="AM818"/>
      <c r="AN818"/>
      <c r="AO818"/>
      <c r="AP818"/>
      <c r="AQ818"/>
      <c r="AR818"/>
      <c r="AS818"/>
    </row>
    <row r="819" spans="1:45">
      <c r="A819" s="3"/>
      <c r="B819" s="3"/>
      <c r="C819" s="3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/>
      <c r="AK819"/>
      <c r="AL819"/>
      <c r="AM819"/>
      <c r="AN819"/>
      <c r="AO819"/>
      <c r="AP819"/>
      <c r="AQ819"/>
      <c r="AR819"/>
      <c r="AS819"/>
    </row>
    <row r="820" spans="1:45">
      <c r="A820" s="3"/>
      <c r="B820" s="3"/>
      <c r="C820" s="3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/>
      <c r="AK820"/>
      <c r="AL820"/>
      <c r="AM820"/>
      <c r="AN820"/>
      <c r="AO820"/>
      <c r="AP820"/>
      <c r="AQ820"/>
      <c r="AR820"/>
      <c r="AS820"/>
    </row>
    <row r="821" spans="1:45">
      <c r="A821" s="3"/>
      <c r="B821" s="3"/>
      <c r="C821" s="3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/>
      <c r="AK821"/>
      <c r="AL821"/>
      <c r="AM821"/>
      <c r="AN821"/>
      <c r="AO821"/>
      <c r="AP821"/>
      <c r="AQ821"/>
      <c r="AR821"/>
      <c r="AS821"/>
    </row>
    <row r="822" spans="1:45">
      <c r="A822" s="3"/>
      <c r="B822" s="3"/>
      <c r="C822" s="3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/>
      <c r="AK822"/>
      <c r="AL822"/>
      <c r="AM822"/>
      <c r="AN822"/>
      <c r="AO822"/>
      <c r="AP822"/>
      <c r="AQ822"/>
      <c r="AR822"/>
      <c r="AS822"/>
    </row>
    <row r="823" spans="1:45">
      <c r="A823" s="3"/>
      <c r="B823" s="3"/>
      <c r="C823" s="3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/>
      <c r="AK823"/>
      <c r="AL823"/>
      <c r="AM823"/>
      <c r="AN823"/>
      <c r="AO823"/>
      <c r="AP823"/>
      <c r="AQ823"/>
      <c r="AR823"/>
      <c r="AS823"/>
    </row>
    <row r="824" spans="1:45">
      <c r="A824" s="3"/>
      <c r="B824" s="3"/>
      <c r="C824" s="3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/>
      <c r="AK824"/>
      <c r="AL824"/>
      <c r="AM824"/>
      <c r="AN824"/>
      <c r="AO824"/>
      <c r="AP824"/>
      <c r="AQ824"/>
      <c r="AR824"/>
      <c r="AS824"/>
    </row>
    <row r="825" spans="1:45">
      <c r="A825" s="3"/>
      <c r="B825" s="3"/>
      <c r="C825" s="3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/>
      <c r="AK825"/>
      <c r="AL825"/>
      <c r="AM825"/>
      <c r="AN825"/>
      <c r="AO825"/>
      <c r="AP825"/>
      <c r="AQ825"/>
      <c r="AR825"/>
      <c r="AS825"/>
    </row>
    <row r="826" spans="1:45">
      <c r="A826" s="3"/>
      <c r="B826" s="3"/>
      <c r="C826" s="3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/>
      <c r="AK826"/>
      <c r="AL826"/>
      <c r="AM826"/>
      <c r="AN826"/>
      <c r="AO826"/>
      <c r="AP826"/>
      <c r="AQ826"/>
      <c r="AR826"/>
      <c r="AS826"/>
    </row>
    <row r="827" spans="1:45">
      <c r="A827" s="3"/>
      <c r="B827" s="3"/>
      <c r="C827" s="3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/>
      <c r="AK827"/>
      <c r="AL827"/>
      <c r="AM827"/>
      <c r="AN827"/>
      <c r="AO827"/>
      <c r="AP827"/>
      <c r="AQ827"/>
      <c r="AR827"/>
      <c r="AS827"/>
    </row>
    <row r="828" spans="1:45">
      <c r="A828" s="3"/>
      <c r="B828" s="3"/>
      <c r="C828" s="3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/>
      <c r="AK828"/>
      <c r="AL828"/>
      <c r="AM828"/>
      <c r="AN828"/>
      <c r="AO828"/>
      <c r="AP828"/>
      <c r="AQ828"/>
      <c r="AR828"/>
      <c r="AS828"/>
    </row>
    <row r="829" spans="1:45">
      <c r="A829" s="3"/>
      <c r="B829" s="3"/>
      <c r="C829" s="3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/>
      <c r="AK829"/>
      <c r="AL829"/>
      <c r="AM829"/>
      <c r="AN829"/>
      <c r="AO829"/>
      <c r="AP829"/>
      <c r="AQ829"/>
      <c r="AR829"/>
      <c r="AS829"/>
    </row>
    <row r="830" spans="1:45">
      <c r="A830" s="3"/>
      <c r="B830" s="3"/>
      <c r="C830" s="3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/>
      <c r="AK830"/>
      <c r="AL830"/>
      <c r="AM830"/>
      <c r="AN830"/>
      <c r="AO830"/>
      <c r="AP830"/>
      <c r="AQ830"/>
      <c r="AR830"/>
      <c r="AS830"/>
    </row>
    <row r="831" spans="1:45">
      <c r="A831" s="3"/>
      <c r="B831" s="3"/>
      <c r="C831" s="3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/>
      <c r="AK831"/>
      <c r="AL831"/>
      <c r="AM831"/>
      <c r="AN831"/>
      <c r="AO831"/>
      <c r="AP831"/>
      <c r="AQ831"/>
      <c r="AR831"/>
      <c r="AS831"/>
    </row>
    <row r="832" spans="1:45">
      <c r="A832" s="3"/>
      <c r="B832" s="3"/>
      <c r="C832" s="3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/>
      <c r="AK832"/>
      <c r="AL832"/>
      <c r="AM832"/>
      <c r="AN832"/>
      <c r="AO832"/>
      <c r="AP832"/>
      <c r="AQ832"/>
      <c r="AR832"/>
      <c r="AS832"/>
    </row>
    <row r="833" spans="1:45">
      <c r="A833" s="3"/>
      <c r="B833" s="3"/>
      <c r="C833" s="3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/>
      <c r="AK833"/>
      <c r="AL833"/>
      <c r="AM833"/>
      <c r="AN833"/>
      <c r="AO833"/>
      <c r="AP833"/>
      <c r="AQ833"/>
      <c r="AR833"/>
      <c r="AS833"/>
    </row>
    <row r="834" spans="1:45">
      <c r="A834" s="3"/>
      <c r="B834" s="3"/>
      <c r="C834" s="3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/>
      <c r="AK834"/>
      <c r="AL834"/>
      <c r="AM834"/>
      <c r="AN834"/>
      <c r="AO834"/>
      <c r="AP834"/>
      <c r="AQ834"/>
      <c r="AR834"/>
      <c r="AS834"/>
    </row>
    <row r="835" spans="1:45">
      <c r="A835" s="3"/>
      <c r="B835" s="3"/>
      <c r="C835" s="3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/>
      <c r="AK835"/>
      <c r="AL835"/>
      <c r="AM835"/>
      <c r="AN835"/>
      <c r="AO835"/>
      <c r="AP835"/>
      <c r="AQ835"/>
      <c r="AR835"/>
      <c r="AS835"/>
    </row>
    <row r="836" spans="1:45">
      <c r="A836" s="3"/>
      <c r="B836" s="3"/>
      <c r="C836" s="3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/>
      <c r="AK836"/>
      <c r="AL836"/>
      <c r="AM836"/>
      <c r="AN836"/>
      <c r="AO836"/>
      <c r="AP836"/>
      <c r="AQ836"/>
      <c r="AR836"/>
      <c r="AS836"/>
    </row>
    <row r="837" spans="1:45">
      <c r="A837" s="3"/>
      <c r="B837" s="3"/>
      <c r="C837" s="3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/>
      <c r="AK837"/>
      <c r="AL837"/>
      <c r="AM837"/>
      <c r="AN837"/>
      <c r="AO837"/>
      <c r="AP837"/>
      <c r="AQ837"/>
      <c r="AR837"/>
      <c r="AS837"/>
    </row>
    <row r="838" spans="1:45">
      <c r="A838" s="3"/>
      <c r="B838" s="3"/>
      <c r="C838" s="3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/>
      <c r="AK838"/>
      <c r="AL838"/>
      <c r="AM838"/>
      <c r="AN838"/>
      <c r="AO838"/>
      <c r="AP838"/>
      <c r="AQ838"/>
      <c r="AR838"/>
      <c r="AS838"/>
    </row>
    <row r="839" spans="1:45">
      <c r="A839" s="3"/>
      <c r="B839" s="3"/>
      <c r="C839" s="3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/>
      <c r="AK839"/>
      <c r="AL839"/>
      <c r="AM839"/>
      <c r="AN839"/>
      <c r="AO839"/>
      <c r="AP839"/>
      <c r="AQ839"/>
      <c r="AR839"/>
      <c r="AS839"/>
    </row>
    <row r="840" spans="1:45">
      <c r="A840" s="3"/>
      <c r="B840" s="3"/>
      <c r="C840" s="3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/>
      <c r="AK840"/>
      <c r="AL840"/>
      <c r="AM840"/>
      <c r="AN840"/>
      <c r="AO840"/>
      <c r="AP840"/>
      <c r="AQ840"/>
      <c r="AR840"/>
      <c r="AS840"/>
    </row>
    <row r="841" spans="1:45">
      <c r="A841" s="3"/>
      <c r="B841" s="3"/>
      <c r="C841" s="3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/>
      <c r="AK841"/>
      <c r="AL841"/>
      <c r="AM841"/>
      <c r="AN841"/>
      <c r="AO841"/>
      <c r="AP841"/>
      <c r="AQ841"/>
      <c r="AR841"/>
      <c r="AS841"/>
    </row>
    <row r="842" spans="1:45">
      <c r="A842" s="3"/>
      <c r="B842" s="3"/>
      <c r="C842" s="3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/>
      <c r="AK842"/>
      <c r="AL842"/>
      <c r="AM842"/>
      <c r="AN842"/>
      <c r="AO842"/>
      <c r="AP842"/>
      <c r="AQ842"/>
      <c r="AR842"/>
      <c r="AS842"/>
    </row>
    <row r="843" spans="1:45">
      <c r="A843" s="3"/>
      <c r="B843" s="3"/>
      <c r="C843" s="3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/>
      <c r="AK843"/>
      <c r="AL843"/>
      <c r="AM843"/>
      <c r="AN843"/>
      <c r="AO843"/>
      <c r="AP843"/>
      <c r="AQ843"/>
      <c r="AR843"/>
      <c r="AS843"/>
    </row>
    <row r="844" spans="1:45">
      <c r="A844" s="3"/>
      <c r="B844" s="3"/>
      <c r="C844" s="3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/>
      <c r="AK844"/>
      <c r="AL844"/>
      <c r="AM844"/>
      <c r="AN844"/>
      <c r="AO844"/>
      <c r="AP844"/>
      <c r="AQ844"/>
      <c r="AR844"/>
      <c r="AS844"/>
    </row>
    <row r="845" spans="1:45">
      <c r="A845" s="3"/>
      <c r="B845" s="3"/>
      <c r="C845" s="3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/>
      <c r="AK845"/>
      <c r="AL845"/>
      <c r="AM845"/>
      <c r="AN845"/>
      <c r="AO845"/>
      <c r="AP845"/>
      <c r="AQ845"/>
      <c r="AR845"/>
      <c r="AS845"/>
    </row>
    <row r="846" spans="1:45">
      <c r="A846" s="3"/>
      <c r="B846" s="3"/>
      <c r="C846" s="3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/>
      <c r="AK846"/>
      <c r="AL846"/>
      <c r="AM846"/>
      <c r="AN846"/>
      <c r="AO846"/>
      <c r="AP846"/>
      <c r="AQ846"/>
      <c r="AR846"/>
      <c r="AS846"/>
    </row>
    <row r="847" spans="1:45">
      <c r="A847" s="3"/>
      <c r="B847" s="3"/>
      <c r="C847" s="3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/>
      <c r="AK847"/>
      <c r="AL847"/>
      <c r="AM847"/>
      <c r="AN847"/>
      <c r="AO847"/>
      <c r="AP847"/>
      <c r="AQ847"/>
      <c r="AR847"/>
      <c r="AS847"/>
    </row>
    <row r="848" spans="1:45">
      <c r="A848" s="3"/>
      <c r="B848" s="3"/>
      <c r="C848" s="3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/>
      <c r="AK848"/>
      <c r="AL848"/>
      <c r="AM848"/>
      <c r="AN848"/>
      <c r="AO848"/>
      <c r="AP848"/>
      <c r="AQ848"/>
      <c r="AR848"/>
      <c r="AS848"/>
    </row>
    <row r="849" spans="1:45">
      <c r="A849" s="3"/>
      <c r="B849" s="3"/>
      <c r="C849" s="3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/>
      <c r="AK849"/>
      <c r="AL849"/>
      <c r="AM849"/>
      <c r="AN849"/>
      <c r="AO849"/>
      <c r="AP849"/>
      <c r="AQ849"/>
      <c r="AR849"/>
      <c r="AS849"/>
    </row>
    <row r="850" spans="1:45">
      <c r="A850" s="3"/>
      <c r="B850" s="3"/>
      <c r="C850" s="3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/>
      <c r="AK850"/>
      <c r="AL850"/>
      <c r="AM850"/>
      <c r="AN850"/>
      <c r="AO850"/>
      <c r="AP850"/>
      <c r="AQ850"/>
      <c r="AR850"/>
      <c r="AS850"/>
    </row>
    <row r="851" spans="1:45">
      <c r="A851" s="3"/>
      <c r="B851" s="3"/>
      <c r="C851" s="3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/>
      <c r="AK851"/>
      <c r="AL851"/>
      <c r="AM851"/>
      <c r="AN851"/>
      <c r="AO851"/>
      <c r="AP851"/>
      <c r="AQ851"/>
      <c r="AR851"/>
      <c r="AS851"/>
    </row>
    <row r="852" spans="1:45">
      <c r="A852" s="3"/>
      <c r="B852" s="3"/>
      <c r="C852" s="3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/>
      <c r="AK852"/>
      <c r="AL852"/>
      <c r="AM852"/>
      <c r="AN852"/>
      <c r="AO852"/>
      <c r="AP852"/>
      <c r="AQ852"/>
      <c r="AR852"/>
      <c r="AS852"/>
    </row>
    <row r="853" spans="1:45">
      <c r="A853" s="3"/>
      <c r="B853" s="3"/>
      <c r="C853" s="3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/>
      <c r="AK853"/>
      <c r="AL853"/>
      <c r="AM853"/>
      <c r="AN853"/>
      <c r="AO853"/>
      <c r="AP853"/>
      <c r="AQ853"/>
      <c r="AR853"/>
      <c r="AS853"/>
    </row>
    <row r="854" spans="1:45">
      <c r="A854" s="3"/>
      <c r="B854" s="3"/>
      <c r="C854" s="3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/>
      <c r="AK854"/>
      <c r="AL854"/>
      <c r="AM854"/>
      <c r="AN854"/>
      <c r="AO854"/>
      <c r="AP854"/>
      <c r="AQ854"/>
      <c r="AR854"/>
      <c r="AS854"/>
    </row>
    <row r="855" spans="1:45">
      <c r="A855" s="3"/>
      <c r="B855" s="3"/>
      <c r="C855" s="3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/>
      <c r="AK855"/>
      <c r="AL855"/>
      <c r="AM855"/>
      <c r="AN855"/>
      <c r="AO855"/>
      <c r="AP855"/>
      <c r="AQ855"/>
      <c r="AR855"/>
      <c r="AS855"/>
    </row>
    <row r="856" spans="1:45">
      <c r="A856" s="3"/>
      <c r="B856" s="3"/>
      <c r="C856" s="3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/>
      <c r="AK856"/>
      <c r="AL856"/>
      <c r="AM856"/>
      <c r="AN856"/>
      <c r="AO856"/>
      <c r="AP856"/>
      <c r="AQ856"/>
      <c r="AR856"/>
      <c r="AS856"/>
    </row>
    <row r="857" spans="1:45">
      <c r="A857" s="3"/>
      <c r="B857" s="3"/>
      <c r="C857" s="3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/>
      <c r="AK857"/>
      <c r="AL857"/>
      <c r="AM857"/>
      <c r="AN857"/>
      <c r="AO857"/>
      <c r="AP857"/>
      <c r="AQ857"/>
      <c r="AR857"/>
      <c r="AS857"/>
    </row>
    <row r="858" spans="1:45">
      <c r="A858" s="3"/>
      <c r="B858" s="3"/>
      <c r="C858" s="3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/>
      <c r="AK858"/>
      <c r="AL858"/>
      <c r="AM858"/>
      <c r="AN858"/>
      <c r="AO858"/>
      <c r="AP858"/>
      <c r="AQ858"/>
      <c r="AR858"/>
      <c r="AS858"/>
    </row>
    <row r="859" spans="1:45">
      <c r="A859" s="3"/>
      <c r="B859" s="3"/>
      <c r="C859" s="3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/>
      <c r="AK859"/>
      <c r="AL859"/>
      <c r="AM859"/>
      <c r="AN859"/>
      <c r="AO859"/>
      <c r="AP859"/>
      <c r="AQ859"/>
      <c r="AR859"/>
      <c r="AS859"/>
    </row>
    <row r="860" spans="1:45">
      <c r="A860" s="3"/>
      <c r="B860" s="3"/>
      <c r="C860" s="3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/>
      <c r="AK860"/>
      <c r="AL860"/>
      <c r="AM860"/>
      <c r="AN860"/>
      <c r="AO860"/>
      <c r="AP860"/>
      <c r="AQ860"/>
      <c r="AR860"/>
      <c r="AS860"/>
    </row>
    <row r="861" spans="1:45">
      <c r="A861" s="3"/>
      <c r="B861" s="3"/>
      <c r="C861" s="3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/>
      <c r="AK861"/>
      <c r="AL861"/>
      <c r="AM861"/>
      <c r="AN861"/>
      <c r="AO861"/>
      <c r="AP861"/>
      <c r="AQ861"/>
      <c r="AR861"/>
      <c r="AS861"/>
    </row>
    <row r="862" spans="1:45">
      <c r="A862" s="3"/>
      <c r="B862" s="3"/>
      <c r="C862" s="3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/>
      <c r="AK862"/>
      <c r="AL862"/>
      <c r="AM862"/>
      <c r="AN862"/>
      <c r="AO862"/>
      <c r="AP862"/>
      <c r="AQ862"/>
      <c r="AR862"/>
      <c r="AS862"/>
    </row>
    <row r="863" spans="1:45">
      <c r="A863" s="3"/>
      <c r="B863" s="3"/>
      <c r="C863" s="3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/>
      <c r="AK863"/>
      <c r="AL863"/>
      <c r="AM863"/>
      <c r="AN863"/>
      <c r="AO863"/>
      <c r="AP863"/>
      <c r="AQ863"/>
      <c r="AR863"/>
      <c r="AS863"/>
    </row>
    <row r="864" spans="1:45">
      <c r="A864" s="3"/>
      <c r="B864" s="3"/>
      <c r="C864" s="3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/>
      <c r="AK864"/>
      <c r="AL864"/>
      <c r="AM864"/>
      <c r="AN864"/>
      <c r="AO864"/>
      <c r="AP864"/>
      <c r="AQ864"/>
      <c r="AR864"/>
      <c r="AS864"/>
    </row>
    <row r="865" spans="1:45">
      <c r="A865" s="3"/>
      <c r="B865" s="3"/>
      <c r="C865" s="3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/>
      <c r="AK865"/>
      <c r="AL865"/>
      <c r="AM865"/>
      <c r="AN865"/>
      <c r="AO865"/>
      <c r="AP865"/>
      <c r="AQ865"/>
      <c r="AR865"/>
      <c r="AS865"/>
    </row>
    <row r="866" spans="1:45">
      <c r="A866" s="3"/>
      <c r="B866" s="3"/>
      <c r="C866" s="3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/>
      <c r="AK866"/>
      <c r="AL866"/>
      <c r="AM866"/>
      <c r="AN866"/>
      <c r="AO866"/>
      <c r="AP866"/>
      <c r="AQ866"/>
      <c r="AR866"/>
      <c r="AS866"/>
    </row>
    <row r="867" spans="1:45">
      <c r="A867" s="3"/>
      <c r="B867" s="3"/>
      <c r="C867" s="3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/>
      <c r="AK867"/>
      <c r="AL867"/>
      <c r="AM867"/>
      <c r="AN867"/>
      <c r="AO867"/>
      <c r="AP867"/>
      <c r="AQ867"/>
      <c r="AR867"/>
      <c r="AS867"/>
    </row>
    <row r="868" spans="1:45">
      <c r="A868" s="3"/>
      <c r="B868" s="3"/>
      <c r="C868" s="3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/>
      <c r="AK868"/>
      <c r="AL868"/>
      <c r="AM868"/>
      <c r="AN868"/>
      <c r="AO868"/>
      <c r="AP868"/>
      <c r="AQ868"/>
      <c r="AR868"/>
      <c r="AS868"/>
    </row>
    <row r="869" spans="1:45">
      <c r="A869" s="3"/>
      <c r="B869" s="3"/>
      <c r="C869" s="3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/>
      <c r="AK869"/>
      <c r="AL869"/>
      <c r="AM869"/>
      <c r="AN869"/>
      <c r="AO869"/>
      <c r="AP869"/>
      <c r="AQ869"/>
      <c r="AR869"/>
      <c r="AS869"/>
    </row>
    <row r="870" spans="1:45">
      <c r="A870" s="3"/>
      <c r="B870" s="3"/>
      <c r="C870" s="3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/>
      <c r="AK870"/>
      <c r="AL870"/>
      <c r="AM870"/>
      <c r="AN870"/>
      <c r="AO870"/>
      <c r="AP870"/>
      <c r="AQ870"/>
      <c r="AR870"/>
      <c r="AS870"/>
    </row>
    <row r="871" spans="1:45">
      <c r="A871" s="3"/>
      <c r="B871" s="3"/>
      <c r="C871" s="3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/>
      <c r="AK871"/>
      <c r="AL871"/>
      <c r="AM871"/>
      <c r="AN871"/>
      <c r="AO871"/>
      <c r="AP871"/>
      <c r="AQ871"/>
      <c r="AR871"/>
      <c r="AS871"/>
    </row>
    <row r="872" spans="1:45">
      <c r="A872" s="3"/>
      <c r="B872" s="3"/>
      <c r="C872" s="3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/>
      <c r="AK872"/>
      <c r="AL872"/>
      <c r="AM872"/>
      <c r="AN872"/>
      <c r="AO872"/>
      <c r="AP872"/>
      <c r="AQ872"/>
      <c r="AR872"/>
      <c r="AS872"/>
    </row>
    <row r="873" spans="1:45">
      <c r="A873" s="3"/>
      <c r="B873" s="3"/>
      <c r="C873" s="3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/>
      <c r="AK873"/>
      <c r="AL873"/>
      <c r="AM873"/>
      <c r="AN873"/>
      <c r="AO873"/>
      <c r="AP873"/>
      <c r="AQ873"/>
      <c r="AR873"/>
      <c r="AS873"/>
    </row>
    <row r="874" spans="1:45">
      <c r="A874" s="3"/>
      <c r="B874" s="3"/>
      <c r="C874" s="3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/>
      <c r="AK874"/>
      <c r="AL874"/>
      <c r="AM874"/>
      <c r="AN874"/>
      <c r="AO874"/>
      <c r="AP874"/>
      <c r="AQ874"/>
      <c r="AR874"/>
      <c r="AS874"/>
    </row>
    <row r="875" spans="1:45">
      <c r="A875" s="3"/>
      <c r="B875" s="3"/>
      <c r="C875" s="3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/>
      <c r="AK875"/>
      <c r="AL875"/>
      <c r="AM875"/>
      <c r="AN875"/>
      <c r="AO875"/>
      <c r="AP875"/>
      <c r="AQ875"/>
      <c r="AR875"/>
      <c r="AS875"/>
    </row>
    <row r="876" spans="1:45">
      <c r="A876" s="3"/>
      <c r="B876" s="3"/>
      <c r="C876" s="3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/>
      <c r="AK876"/>
      <c r="AL876"/>
      <c r="AM876"/>
      <c r="AN876"/>
      <c r="AO876"/>
      <c r="AP876"/>
      <c r="AQ876"/>
      <c r="AR876"/>
      <c r="AS876"/>
    </row>
    <row r="877" spans="1:45">
      <c r="A877" s="3"/>
      <c r="B877" s="3"/>
      <c r="C877" s="3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/>
      <c r="AK877"/>
      <c r="AL877"/>
      <c r="AM877"/>
      <c r="AN877"/>
      <c r="AO877"/>
      <c r="AP877"/>
      <c r="AQ877"/>
      <c r="AR877"/>
      <c r="AS877"/>
    </row>
    <row r="878" spans="1:45">
      <c r="A878" s="3"/>
      <c r="B878" s="3"/>
      <c r="C878" s="3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/>
      <c r="AK878"/>
      <c r="AL878"/>
      <c r="AM878"/>
      <c r="AN878"/>
      <c r="AO878"/>
      <c r="AP878"/>
      <c r="AQ878"/>
      <c r="AR878"/>
      <c r="AS878"/>
    </row>
    <row r="879" spans="1:45">
      <c r="A879" s="3"/>
      <c r="B879" s="3"/>
      <c r="C879" s="3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/>
      <c r="AK879"/>
      <c r="AL879"/>
      <c r="AM879"/>
      <c r="AN879"/>
      <c r="AO879"/>
      <c r="AP879"/>
      <c r="AQ879"/>
      <c r="AR879"/>
      <c r="AS879"/>
    </row>
    <row r="880" spans="1:45">
      <c r="A880" s="3"/>
      <c r="B880" s="3"/>
      <c r="C880" s="3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/>
      <c r="AK880"/>
      <c r="AL880"/>
      <c r="AM880"/>
      <c r="AN880"/>
      <c r="AO880"/>
      <c r="AP880"/>
      <c r="AQ880"/>
      <c r="AR880"/>
      <c r="AS880"/>
    </row>
    <row r="881" spans="1:45">
      <c r="A881" s="3"/>
      <c r="B881" s="3"/>
      <c r="C881" s="3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/>
      <c r="AK881"/>
      <c r="AL881"/>
      <c r="AM881"/>
      <c r="AN881"/>
      <c r="AO881"/>
      <c r="AP881"/>
      <c r="AQ881"/>
      <c r="AR881"/>
      <c r="AS881"/>
    </row>
    <row r="882" spans="1:45">
      <c r="A882" s="3"/>
      <c r="B882" s="3"/>
      <c r="C882" s="3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/>
      <c r="AK882"/>
      <c r="AL882"/>
      <c r="AM882"/>
      <c r="AN882"/>
      <c r="AO882"/>
      <c r="AP882"/>
      <c r="AQ882"/>
      <c r="AR882"/>
      <c r="AS882"/>
    </row>
    <row r="883" spans="1:45">
      <c r="A883" s="3"/>
      <c r="B883" s="3"/>
      <c r="C883" s="3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/>
      <c r="AK883"/>
      <c r="AL883"/>
      <c r="AM883"/>
      <c r="AN883"/>
      <c r="AO883"/>
      <c r="AP883"/>
      <c r="AQ883"/>
      <c r="AR883"/>
      <c r="AS883"/>
    </row>
    <row r="884" spans="1:45">
      <c r="A884" s="3"/>
      <c r="B884" s="3"/>
      <c r="C884" s="3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/>
      <c r="AK884"/>
      <c r="AL884"/>
      <c r="AM884"/>
      <c r="AN884"/>
      <c r="AO884"/>
      <c r="AP884"/>
      <c r="AQ884"/>
      <c r="AR884"/>
      <c r="AS884"/>
    </row>
    <row r="885" spans="1:45">
      <c r="A885" s="3"/>
      <c r="B885" s="3"/>
      <c r="C885" s="3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/>
      <c r="AK885"/>
      <c r="AL885"/>
      <c r="AM885"/>
      <c r="AN885"/>
      <c r="AO885"/>
      <c r="AP885"/>
      <c r="AQ885"/>
      <c r="AR885"/>
      <c r="AS885"/>
    </row>
    <row r="886" spans="1:45">
      <c r="A886" s="3"/>
      <c r="B886" s="3"/>
      <c r="C886" s="3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/>
      <c r="AK886"/>
      <c r="AL886"/>
      <c r="AM886"/>
      <c r="AN886"/>
      <c r="AO886"/>
      <c r="AP886"/>
      <c r="AQ886"/>
      <c r="AR886"/>
      <c r="AS886"/>
    </row>
    <row r="887" spans="1:45">
      <c r="A887" s="3"/>
      <c r="B887" s="3"/>
      <c r="C887" s="3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/>
      <c r="AK887"/>
      <c r="AL887"/>
      <c r="AM887"/>
      <c r="AN887"/>
      <c r="AO887"/>
      <c r="AP887"/>
      <c r="AQ887"/>
      <c r="AR887"/>
      <c r="AS887"/>
    </row>
    <row r="888" spans="1:45">
      <c r="A888" s="3"/>
      <c r="B888" s="3"/>
      <c r="C888" s="3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/>
      <c r="AK888"/>
      <c r="AL888"/>
      <c r="AM888"/>
      <c r="AN888"/>
      <c r="AO888"/>
      <c r="AP888"/>
      <c r="AQ888"/>
      <c r="AR888"/>
      <c r="AS888"/>
    </row>
    <row r="889" spans="1:45">
      <c r="A889" s="3"/>
      <c r="B889" s="3"/>
      <c r="C889" s="3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/>
      <c r="AK889"/>
      <c r="AL889"/>
      <c r="AM889"/>
      <c r="AN889"/>
      <c r="AO889"/>
      <c r="AP889"/>
      <c r="AQ889"/>
      <c r="AR889"/>
      <c r="AS889"/>
    </row>
    <row r="890" spans="1:45">
      <c r="A890" s="3"/>
      <c r="B890" s="3"/>
      <c r="C890" s="3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/>
      <c r="AK890"/>
      <c r="AL890"/>
      <c r="AM890"/>
      <c r="AN890"/>
      <c r="AO890"/>
      <c r="AP890"/>
      <c r="AQ890"/>
      <c r="AR890"/>
      <c r="AS890"/>
    </row>
    <row r="891" spans="1:45">
      <c r="A891" s="3"/>
      <c r="B891" s="3"/>
      <c r="C891" s="3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/>
      <c r="AK891"/>
      <c r="AL891"/>
      <c r="AM891"/>
      <c r="AN891"/>
      <c r="AO891"/>
      <c r="AP891"/>
      <c r="AQ891"/>
      <c r="AR891"/>
      <c r="AS891"/>
    </row>
    <row r="892" spans="1:45">
      <c r="A892" s="3"/>
      <c r="B892" s="3"/>
      <c r="C892" s="3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/>
      <c r="AK892"/>
      <c r="AL892"/>
      <c r="AM892"/>
      <c r="AN892"/>
      <c r="AO892"/>
      <c r="AP892"/>
      <c r="AQ892"/>
      <c r="AR892"/>
      <c r="AS892"/>
    </row>
    <row r="893" spans="1:45">
      <c r="A893" s="3"/>
      <c r="B893" s="3"/>
      <c r="C893" s="3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/>
      <c r="AK893"/>
      <c r="AL893"/>
      <c r="AM893"/>
      <c r="AN893"/>
      <c r="AO893"/>
      <c r="AP893"/>
      <c r="AQ893"/>
      <c r="AR893"/>
      <c r="AS893"/>
    </row>
    <row r="894" spans="1:45">
      <c r="A894" s="3"/>
      <c r="B894" s="3"/>
      <c r="C894" s="3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/>
      <c r="AK894"/>
      <c r="AL894"/>
      <c r="AM894"/>
      <c r="AN894"/>
      <c r="AO894"/>
      <c r="AP894"/>
      <c r="AQ894"/>
      <c r="AR894"/>
      <c r="AS894"/>
    </row>
    <row r="895" spans="1:45">
      <c r="A895" s="3"/>
      <c r="B895" s="3"/>
      <c r="C895" s="3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/>
      <c r="AK895"/>
      <c r="AL895"/>
      <c r="AM895"/>
      <c r="AN895"/>
      <c r="AO895"/>
      <c r="AP895"/>
      <c r="AQ895"/>
      <c r="AR895"/>
      <c r="AS895"/>
    </row>
    <row r="896" spans="1:45">
      <c r="A896" s="3"/>
      <c r="B896" s="3"/>
      <c r="C896" s="3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/>
      <c r="AK896"/>
      <c r="AL896"/>
      <c r="AM896"/>
      <c r="AN896"/>
      <c r="AO896"/>
      <c r="AP896"/>
      <c r="AQ896"/>
      <c r="AR896"/>
      <c r="AS896"/>
    </row>
    <row r="897" spans="1:45">
      <c r="A897" s="3"/>
      <c r="B897" s="3"/>
      <c r="C897" s="3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/>
      <c r="AK897"/>
      <c r="AL897"/>
      <c r="AM897"/>
      <c r="AN897"/>
      <c r="AO897"/>
      <c r="AP897"/>
      <c r="AQ897"/>
      <c r="AR897"/>
      <c r="AS897"/>
    </row>
    <row r="898" spans="1:45">
      <c r="A898" s="3"/>
      <c r="B898" s="3"/>
      <c r="C898" s="3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/>
      <c r="AK898"/>
      <c r="AL898"/>
      <c r="AM898"/>
      <c r="AN898"/>
      <c r="AO898"/>
      <c r="AP898"/>
      <c r="AQ898"/>
      <c r="AR898"/>
      <c r="AS898"/>
    </row>
    <row r="899" spans="1:45">
      <c r="A899" s="3"/>
      <c r="B899" s="3"/>
      <c r="C899" s="3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/>
      <c r="AK899"/>
      <c r="AL899"/>
      <c r="AM899"/>
      <c r="AN899"/>
      <c r="AO899"/>
      <c r="AP899"/>
      <c r="AQ899"/>
      <c r="AR899"/>
      <c r="AS899"/>
    </row>
    <row r="900" spans="1:45">
      <c r="A900" s="3"/>
      <c r="B900" s="3"/>
      <c r="C900" s="3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/>
      <c r="AK900"/>
      <c r="AL900"/>
      <c r="AM900"/>
      <c r="AN900"/>
      <c r="AO900"/>
      <c r="AP900"/>
      <c r="AQ900"/>
      <c r="AR900"/>
      <c r="AS900"/>
    </row>
    <row r="901" spans="1:45">
      <c r="A901" s="3"/>
      <c r="B901" s="3"/>
      <c r="C901" s="3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/>
      <c r="AK901"/>
      <c r="AL901"/>
      <c r="AM901"/>
      <c r="AN901"/>
      <c r="AO901"/>
      <c r="AP901"/>
      <c r="AQ901"/>
      <c r="AR901"/>
      <c r="AS901"/>
    </row>
    <row r="902" spans="1:45">
      <c r="A902" s="3"/>
      <c r="B902" s="3"/>
      <c r="C902" s="3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/>
      <c r="AK902"/>
      <c r="AL902"/>
      <c r="AM902"/>
      <c r="AN902"/>
      <c r="AO902"/>
      <c r="AP902"/>
      <c r="AQ902"/>
      <c r="AR902"/>
      <c r="AS902"/>
    </row>
    <row r="903" spans="1:45">
      <c r="A903" s="3"/>
      <c r="B903" s="3"/>
      <c r="C903" s="3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/>
      <c r="AK903"/>
      <c r="AL903"/>
      <c r="AM903"/>
      <c r="AN903"/>
      <c r="AO903"/>
      <c r="AP903"/>
      <c r="AQ903"/>
      <c r="AR903"/>
      <c r="AS903"/>
    </row>
    <row r="904" spans="1:45">
      <c r="A904" s="3"/>
      <c r="B904" s="3"/>
      <c r="C904" s="3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/>
      <c r="AK904"/>
      <c r="AL904"/>
      <c r="AM904"/>
      <c r="AN904"/>
      <c r="AO904"/>
      <c r="AP904"/>
      <c r="AQ904"/>
      <c r="AR904"/>
      <c r="AS904"/>
    </row>
    <row r="905" spans="1:45">
      <c r="A905" s="3"/>
      <c r="B905" s="3"/>
      <c r="C905" s="3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/>
      <c r="AK905"/>
      <c r="AL905"/>
      <c r="AM905"/>
      <c r="AN905"/>
      <c r="AO905"/>
      <c r="AP905"/>
      <c r="AQ905"/>
      <c r="AR905"/>
      <c r="AS905"/>
    </row>
    <row r="906" spans="1:45">
      <c r="A906" s="3"/>
      <c r="B906" s="3"/>
      <c r="C906" s="3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/>
      <c r="AK906"/>
      <c r="AL906"/>
      <c r="AM906"/>
      <c r="AN906"/>
      <c r="AO906"/>
      <c r="AP906"/>
      <c r="AQ906"/>
      <c r="AR906"/>
      <c r="AS906"/>
    </row>
    <row r="907" spans="1:45">
      <c r="A907" s="3"/>
      <c r="B907" s="3"/>
      <c r="C907" s="3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/>
      <c r="AK907"/>
      <c r="AL907"/>
      <c r="AM907"/>
      <c r="AN907"/>
      <c r="AO907"/>
      <c r="AP907"/>
      <c r="AQ907"/>
      <c r="AR907"/>
      <c r="AS907"/>
    </row>
    <row r="908" spans="1:45">
      <c r="A908" s="3"/>
      <c r="B908" s="3"/>
      <c r="C908" s="3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/>
      <c r="AK908"/>
      <c r="AL908"/>
      <c r="AM908"/>
      <c r="AN908"/>
      <c r="AO908"/>
      <c r="AP908"/>
      <c r="AQ908"/>
      <c r="AR908"/>
      <c r="AS908"/>
    </row>
    <row r="909" spans="1:45">
      <c r="A909" s="3"/>
      <c r="B909" s="3"/>
      <c r="C909" s="3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/>
      <c r="AK909"/>
      <c r="AL909"/>
      <c r="AM909"/>
      <c r="AN909"/>
      <c r="AO909"/>
      <c r="AP909"/>
      <c r="AQ909"/>
      <c r="AR909"/>
      <c r="AS909"/>
    </row>
    <row r="910" spans="1:45">
      <c r="A910" s="3"/>
      <c r="B910" s="3"/>
      <c r="C910" s="3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/>
      <c r="AK910"/>
      <c r="AL910"/>
      <c r="AM910"/>
      <c r="AN910"/>
      <c r="AO910"/>
      <c r="AP910"/>
      <c r="AQ910"/>
      <c r="AR910"/>
      <c r="AS910"/>
    </row>
    <row r="911" spans="1:45">
      <c r="A911" s="3"/>
      <c r="B911" s="3"/>
      <c r="C911" s="3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/>
      <c r="AK911"/>
      <c r="AL911"/>
      <c r="AM911"/>
      <c r="AN911"/>
      <c r="AO911"/>
      <c r="AP911"/>
      <c r="AQ911"/>
      <c r="AR911"/>
      <c r="AS911"/>
    </row>
    <row r="912" spans="1:45">
      <c r="A912" s="3"/>
      <c r="B912" s="3"/>
      <c r="C912" s="3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/>
      <c r="AK912"/>
      <c r="AL912"/>
      <c r="AM912"/>
      <c r="AN912"/>
      <c r="AO912"/>
      <c r="AP912"/>
      <c r="AQ912"/>
      <c r="AR912"/>
      <c r="AS912"/>
    </row>
    <row r="913" spans="1:45">
      <c r="A913" s="3"/>
      <c r="B913" s="3"/>
      <c r="C913" s="3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/>
      <c r="AK913"/>
      <c r="AL913"/>
      <c r="AM913"/>
      <c r="AN913"/>
      <c r="AO913"/>
      <c r="AP913"/>
      <c r="AQ913"/>
      <c r="AR913"/>
      <c r="AS913"/>
    </row>
    <row r="914" spans="1:45">
      <c r="A914" s="3"/>
      <c r="B914" s="3"/>
      <c r="C914" s="3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/>
      <c r="AK914"/>
      <c r="AL914"/>
      <c r="AM914"/>
      <c r="AN914"/>
      <c r="AO914"/>
      <c r="AP914"/>
      <c r="AQ914"/>
      <c r="AR914"/>
      <c r="AS914"/>
    </row>
    <row r="915" spans="1:45">
      <c r="A915" s="3"/>
      <c r="B915" s="3"/>
      <c r="C915" s="3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/>
      <c r="AK915"/>
      <c r="AL915"/>
      <c r="AM915"/>
      <c r="AN915"/>
      <c r="AO915"/>
      <c r="AP915"/>
      <c r="AQ915"/>
      <c r="AR915"/>
      <c r="AS915"/>
    </row>
    <row r="916" spans="1:45">
      <c r="A916" s="3"/>
      <c r="B916" s="3"/>
      <c r="C916" s="3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/>
      <c r="AK916"/>
      <c r="AL916"/>
      <c r="AM916"/>
      <c r="AN916"/>
      <c r="AO916"/>
      <c r="AP916"/>
      <c r="AQ916"/>
      <c r="AR916"/>
      <c r="AS916"/>
    </row>
    <row r="917" spans="1:45">
      <c r="A917" s="3"/>
      <c r="B917" s="3"/>
      <c r="C917" s="3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/>
      <c r="AK917"/>
      <c r="AL917"/>
      <c r="AM917"/>
      <c r="AN917"/>
      <c r="AO917"/>
      <c r="AP917"/>
      <c r="AQ917"/>
      <c r="AR917"/>
      <c r="AS917"/>
    </row>
    <row r="918" spans="1:45">
      <c r="A918" s="3"/>
      <c r="B918" s="3"/>
      <c r="C918" s="3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/>
      <c r="AK918"/>
      <c r="AL918"/>
      <c r="AM918"/>
      <c r="AN918"/>
      <c r="AO918"/>
      <c r="AP918"/>
      <c r="AQ918"/>
      <c r="AR918"/>
      <c r="AS918"/>
    </row>
    <row r="919" spans="1:45">
      <c r="A919" s="3"/>
      <c r="B919" s="3"/>
      <c r="C919" s="3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/>
      <c r="AK919"/>
      <c r="AL919"/>
      <c r="AM919"/>
      <c r="AN919"/>
      <c r="AO919"/>
      <c r="AP919"/>
      <c r="AQ919"/>
      <c r="AR919"/>
      <c r="AS919"/>
    </row>
    <row r="920" spans="1:45">
      <c r="A920" s="3"/>
      <c r="B920" s="3"/>
      <c r="C920" s="3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/>
      <c r="AK920"/>
      <c r="AL920"/>
      <c r="AM920"/>
      <c r="AN920"/>
      <c r="AO920"/>
      <c r="AP920"/>
      <c r="AQ920"/>
      <c r="AR920"/>
      <c r="AS920"/>
    </row>
    <row r="921" spans="1:45">
      <c r="A921" s="3"/>
      <c r="B921" s="3"/>
      <c r="C921" s="3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/>
      <c r="AK921"/>
      <c r="AL921"/>
      <c r="AM921"/>
      <c r="AN921"/>
      <c r="AO921"/>
      <c r="AP921"/>
      <c r="AQ921"/>
      <c r="AR921"/>
      <c r="AS921"/>
    </row>
    <row r="922" spans="1:45">
      <c r="A922" s="3"/>
      <c r="B922" s="3"/>
      <c r="C922" s="3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/>
      <c r="AK922"/>
      <c r="AL922"/>
      <c r="AM922"/>
      <c r="AN922"/>
      <c r="AO922"/>
      <c r="AP922"/>
      <c r="AQ922"/>
      <c r="AR922"/>
      <c r="AS922"/>
    </row>
    <row r="923" spans="1:45">
      <c r="A923" s="3"/>
      <c r="B923" s="3"/>
      <c r="C923" s="3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/>
      <c r="AK923"/>
      <c r="AL923"/>
      <c r="AM923"/>
      <c r="AN923"/>
      <c r="AO923"/>
      <c r="AP923"/>
      <c r="AQ923"/>
      <c r="AR923"/>
      <c r="AS923"/>
    </row>
    <row r="924" spans="1:45">
      <c r="A924" s="3"/>
      <c r="B924" s="3"/>
      <c r="C924" s="3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/>
      <c r="AK924"/>
      <c r="AL924"/>
      <c r="AM924"/>
      <c r="AN924"/>
      <c r="AO924"/>
      <c r="AP924"/>
      <c r="AQ924"/>
      <c r="AR924"/>
      <c r="AS924"/>
    </row>
    <row r="925" spans="1:45">
      <c r="A925" s="3"/>
      <c r="B925" s="3"/>
      <c r="C925" s="3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/>
      <c r="AK925"/>
      <c r="AL925"/>
      <c r="AM925"/>
      <c r="AN925"/>
      <c r="AO925"/>
      <c r="AP925"/>
      <c r="AQ925"/>
      <c r="AR925"/>
      <c r="AS925"/>
    </row>
    <row r="926" spans="1:45">
      <c r="A926" s="3"/>
      <c r="B926" s="3"/>
      <c r="C926" s="3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/>
      <c r="AK926"/>
      <c r="AL926"/>
      <c r="AM926"/>
      <c r="AN926"/>
      <c r="AO926"/>
      <c r="AP926"/>
      <c r="AQ926"/>
      <c r="AR926"/>
      <c r="AS926"/>
    </row>
    <row r="927" spans="1:45">
      <c r="A927" s="3"/>
      <c r="B927" s="3"/>
      <c r="C927" s="3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/>
      <c r="AK927"/>
      <c r="AL927"/>
      <c r="AM927"/>
      <c r="AN927"/>
      <c r="AO927"/>
      <c r="AP927"/>
      <c r="AQ927"/>
      <c r="AR927"/>
      <c r="AS927"/>
    </row>
    <row r="928" spans="1:45">
      <c r="A928" s="3"/>
      <c r="B928" s="3"/>
      <c r="C928" s="3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/>
      <c r="AK928"/>
      <c r="AL928"/>
      <c r="AM928"/>
      <c r="AN928"/>
      <c r="AO928"/>
      <c r="AP928"/>
      <c r="AQ928"/>
      <c r="AR928"/>
      <c r="AS928"/>
    </row>
    <row r="929" spans="1:45">
      <c r="A929" s="3"/>
      <c r="B929" s="3"/>
      <c r="C929" s="3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/>
      <c r="AK929"/>
      <c r="AL929"/>
      <c r="AM929"/>
      <c r="AN929"/>
      <c r="AO929"/>
      <c r="AP929"/>
      <c r="AQ929"/>
      <c r="AR929"/>
      <c r="AS929"/>
    </row>
    <row r="930" spans="1:45">
      <c r="A930" s="3"/>
      <c r="B930" s="3"/>
      <c r="C930" s="3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/>
      <c r="AK930"/>
      <c r="AL930"/>
      <c r="AM930"/>
      <c r="AN930"/>
      <c r="AO930"/>
      <c r="AP930"/>
      <c r="AQ930"/>
      <c r="AR930"/>
      <c r="AS930"/>
    </row>
    <row r="931" spans="1:45">
      <c r="A931" s="3"/>
      <c r="B931" s="3"/>
      <c r="C931" s="3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/>
      <c r="AK931"/>
      <c r="AL931"/>
      <c r="AM931"/>
      <c r="AN931"/>
      <c r="AO931"/>
      <c r="AP931"/>
      <c r="AQ931"/>
      <c r="AR931"/>
      <c r="AS931"/>
    </row>
    <row r="932" spans="1:45">
      <c r="A932" s="3"/>
      <c r="B932" s="3"/>
      <c r="C932" s="3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/>
      <c r="AK932"/>
      <c r="AL932"/>
      <c r="AM932"/>
      <c r="AN932"/>
      <c r="AO932"/>
      <c r="AP932"/>
      <c r="AQ932"/>
      <c r="AR932"/>
      <c r="AS932"/>
    </row>
    <row r="933" spans="1:45">
      <c r="A933" s="3"/>
      <c r="B933" s="3"/>
      <c r="C933" s="3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/>
      <c r="AK933"/>
      <c r="AL933"/>
      <c r="AM933"/>
      <c r="AN933"/>
      <c r="AO933"/>
      <c r="AP933"/>
      <c r="AQ933"/>
      <c r="AR933"/>
      <c r="AS933"/>
    </row>
    <row r="934" spans="1:45">
      <c r="A934" s="3"/>
      <c r="B934" s="3"/>
      <c r="C934" s="3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/>
      <c r="AK934"/>
      <c r="AL934"/>
      <c r="AM934"/>
      <c r="AN934"/>
      <c r="AO934"/>
      <c r="AP934"/>
      <c r="AQ934"/>
      <c r="AR934"/>
      <c r="AS934"/>
    </row>
    <row r="935" spans="1:45">
      <c r="A935" s="3"/>
      <c r="B935" s="3"/>
      <c r="C935" s="3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/>
      <c r="AK935"/>
      <c r="AL935"/>
      <c r="AM935"/>
      <c r="AN935"/>
      <c r="AO935"/>
      <c r="AP935"/>
      <c r="AQ935"/>
      <c r="AR935"/>
      <c r="AS935"/>
    </row>
    <row r="936" spans="1:45">
      <c r="A936" s="3"/>
      <c r="B936" s="3"/>
      <c r="C936" s="3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/>
      <c r="AK936"/>
      <c r="AL936"/>
      <c r="AM936"/>
      <c r="AN936"/>
      <c r="AO936"/>
      <c r="AP936"/>
      <c r="AQ936"/>
      <c r="AR936"/>
      <c r="AS936"/>
    </row>
    <row r="937" spans="1:45">
      <c r="A937" s="3"/>
      <c r="B937" s="3"/>
      <c r="C937" s="3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/>
      <c r="AK937"/>
      <c r="AL937"/>
      <c r="AM937"/>
      <c r="AN937"/>
      <c r="AO937"/>
      <c r="AP937"/>
      <c r="AQ937"/>
      <c r="AR937"/>
      <c r="AS937"/>
    </row>
    <row r="938" spans="1:45">
      <c r="A938" s="3"/>
      <c r="B938" s="3"/>
      <c r="C938" s="3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/>
      <c r="AK938"/>
      <c r="AL938"/>
      <c r="AM938"/>
      <c r="AN938"/>
      <c r="AO938"/>
      <c r="AP938"/>
      <c r="AQ938"/>
      <c r="AR938"/>
      <c r="AS938"/>
    </row>
    <row r="939" spans="1:45">
      <c r="A939" s="3"/>
      <c r="B939" s="3"/>
      <c r="C939" s="3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/>
      <c r="AK939"/>
      <c r="AL939"/>
      <c r="AM939"/>
      <c r="AN939"/>
      <c r="AO939"/>
      <c r="AP939"/>
      <c r="AQ939"/>
      <c r="AR939"/>
      <c r="AS939"/>
    </row>
    <row r="940" spans="1:45">
      <c r="A940" s="3"/>
      <c r="B940" s="3"/>
      <c r="C940" s="3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/>
      <c r="AK940"/>
      <c r="AL940"/>
      <c r="AM940"/>
      <c r="AN940"/>
      <c r="AO940"/>
      <c r="AP940"/>
      <c r="AQ940"/>
      <c r="AR940"/>
      <c r="AS940"/>
    </row>
    <row r="941" spans="1:45">
      <c r="A941" s="3"/>
      <c r="B941" s="3"/>
      <c r="C941" s="3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/>
      <c r="AK941"/>
      <c r="AL941"/>
      <c r="AM941"/>
      <c r="AN941"/>
      <c r="AO941"/>
      <c r="AP941"/>
      <c r="AQ941"/>
      <c r="AR941"/>
      <c r="AS941"/>
    </row>
    <row r="942" spans="1:45">
      <c r="A942" s="3"/>
      <c r="B942" s="3"/>
      <c r="C942" s="3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/>
      <c r="AK942"/>
      <c r="AL942"/>
      <c r="AM942"/>
      <c r="AN942"/>
      <c r="AO942"/>
      <c r="AP942"/>
      <c r="AQ942"/>
      <c r="AR942"/>
      <c r="AS942"/>
    </row>
    <row r="943" spans="1:45">
      <c r="A943" s="3"/>
      <c r="B943" s="3"/>
      <c r="C943" s="3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/>
      <c r="AK943"/>
      <c r="AL943"/>
      <c r="AM943"/>
      <c r="AN943"/>
      <c r="AO943"/>
      <c r="AP943"/>
      <c r="AQ943"/>
      <c r="AR943"/>
      <c r="AS943"/>
    </row>
    <row r="944" spans="1:45">
      <c r="A944" s="3"/>
      <c r="B944" s="3"/>
      <c r="C944" s="3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/>
      <c r="AK944"/>
      <c r="AL944"/>
      <c r="AM944"/>
      <c r="AN944"/>
      <c r="AO944"/>
      <c r="AP944"/>
      <c r="AQ944"/>
      <c r="AR944"/>
      <c r="AS944"/>
    </row>
    <row r="945" spans="1:45">
      <c r="A945" s="3"/>
      <c r="B945" s="3"/>
      <c r="C945" s="3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/>
      <c r="AK945"/>
      <c r="AL945"/>
      <c r="AM945"/>
      <c r="AN945"/>
      <c r="AO945"/>
      <c r="AP945"/>
      <c r="AQ945"/>
      <c r="AR945"/>
      <c r="AS945"/>
    </row>
    <row r="946" spans="1:45">
      <c r="A946" s="3"/>
      <c r="B946" s="3"/>
      <c r="C946" s="3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/>
      <c r="AK946"/>
      <c r="AL946"/>
      <c r="AM946"/>
      <c r="AN946"/>
      <c r="AO946"/>
      <c r="AP946"/>
      <c r="AQ946"/>
      <c r="AR946"/>
      <c r="AS946"/>
    </row>
    <row r="947" spans="1:45">
      <c r="A947" s="3"/>
      <c r="B947" s="3"/>
      <c r="C947" s="3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/>
      <c r="AK947"/>
      <c r="AL947"/>
      <c r="AM947"/>
      <c r="AN947"/>
      <c r="AO947"/>
      <c r="AP947"/>
      <c r="AQ947"/>
      <c r="AR947"/>
      <c r="AS947"/>
    </row>
    <row r="948" spans="1:45">
      <c r="A948" s="3"/>
      <c r="B948" s="3"/>
      <c r="C948" s="3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/>
      <c r="AK948"/>
      <c r="AL948"/>
      <c r="AM948"/>
      <c r="AN948"/>
      <c r="AO948"/>
      <c r="AP948"/>
      <c r="AQ948"/>
      <c r="AR948"/>
      <c r="AS948"/>
    </row>
    <row r="949" spans="1:45">
      <c r="A949" s="3"/>
      <c r="B949" s="3"/>
      <c r="C949" s="3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/>
      <c r="AK949"/>
      <c r="AL949"/>
      <c r="AM949"/>
      <c r="AN949"/>
      <c r="AO949"/>
      <c r="AP949"/>
      <c r="AQ949"/>
      <c r="AR949"/>
      <c r="AS949"/>
    </row>
    <row r="950" spans="1:45">
      <c r="A950" s="3"/>
      <c r="B950" s="3"/>
      <c r="C950" s="3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/>
      <c r="AK950"/>
      <c r="AL950"/>
      <c r="AM950"/>
      <c r="AN950"/>
      <c r="AO950"/>
      <c r="AP950"/>
      <c r="AQ950"/>
      <c r="AR950"/>
      <c r="AS950"/>
    </row>
    <row r="951" spans="1:45">
      <c r="A951" s="3"/>
      <c r="B951" s="3"/>
      <c r="C951" s="3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/>
      <c r="AK951"/>
      <c r="AL951"/>
      <c r="AM951"/>
      <c r="AN951"/>
      <c r="AO951"/>
      <c r="AP951"/>
      <c r="AQ951"/>
      <c r="AR951"/>
      <c r="AS951"/>
    </row>
    <row r="952" spans="1:45">
      <c r="A952" s="3"/>
      <c r="B952" s="3"/>
      <c r="C952" s="3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/>
      <c r="AK952"/>
      <c r="AL952"/>
      <c r="AM952"/>
      <c r="AN952"/>
      <c r="AO952"/>
      <c r="AP952"/>
      <c r="AQ952"/>
      <c r="AR952"/>
      <c r="AS952"/>
    </row>
    <row r="953" spans="1:45">
      <c r="A953" s="3"/>
      <c r="B953" s="3"/>
      <c r="C953" s="3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/>
      <c r="AK953"/>
      <c r="AL953"/>
      <c r="AM953"/>
      <c r="AN953"/>
      <c r="AO953"/>
      <c r="AP953"/>
      <c r="AQ953"/>
      <c r="AR953"/>
      <c r="AS953"/>
    </row>
    <row r="954" spans="1:45">
      <c r="A954" s="3"/>
      <c r="B954" s="3"/>
      <c r="C954" s="3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/>
      <c r="AK954"/>
      <c r="AL954"/>
      <c r="AM954"/>
      <c r="AN954"/>
      <c r="AO954"/>
      <c r="AP954"/>
      <c r="AQ954"/>
      <c r="AR954"/>
      <c r="AS954"/>
    </row>
    <row r="955" spans="1:45">
      <c r="A955" s="3"/>
      <c r="B955" s="3"/>
      <c r="C955" s="3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/>
      <c r="AK955"/>
      <c r="AL955"/>
      <c r="AM955"/>
      <c r="AN955"/>
      <c r="AO955"/>
      <c r="AP955"/>
      <c r="AQ955"/>
      <c r="AR955"/>
      <c r="AS955"/>
    </row>
    <row r="956" spans="1:45">
      <c r="A956" s="3"/>
      <c r="B956" s="3"/>
      <c r="C956" s="3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/>
      <c r="AK956"/>
      <c r="AL956"/>
      <c r="AM956"/>
      <c r="AN956"/>
      <c r="AO956"/>
      <c r="AP956"/>
      <c r="AQ956"/>
      <c r="AR956"/>
      <c r="AS956"/>
    </row>
    <row r="957" spans="1:45">
      <c r="A957" s="3"/>
      <c r="B957" s="3"/>
      <c r="C957" s="3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/>
      <c r="AK957"/>
      <c r="AL957"/>
      <c r="AM957"/>
      <c r="AN957"/>
      <c r="AO957"/>
      <c r="AP957"/>
      <c r="AQ957"/>
      <c r="AR957"/>
      <c r="AS957"/>
    </row>
    <row r="958" spans="1:45">
      <c r="A958" s="3"/>
      <c r="B958" s="3"/>
      <c r="C958" s="3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/>
      <c r="AK958"/>
      <c r="AL958"/>
      <c r="AM958"/>
      <c r="AN958"/>
      <c r="AO958"/>
      <c r="AP958"/>
      <c r="AQ958"/>
      <c r="AR958"/>
      <c r="AS958"/>
    </row>
    <row r="959" spans="1:45">
      <c r="A959" s="3"/>
      <c r="B959" s="3"/>
      <c r="C959" s="3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/>
      <c r="AK959"/>
      <c r="AL959"/>
      <c r="AM959"/>
      <c r="AN959"/>
      <c r="AO959"/>
      <c r="AP959"/>
      <c r="AQ959"/>
      <c r="AR959"/>
      <c r="AS959"/>
    </row>
    <row r="960" spans="1:45">
      <c r="A960" s="3"/>
      <c r="B960" s="3"/>
      <c r="C960" s="3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/>
      <c r="AK960"/>
      <c r="AL960"/>
      <c r="AM960"/>
      <c r="AN960"/>
      <c r="AO960"/>
      <c r="AP960"/>
      <c r="AQ960"/>
      <c r="AR960"/>
      <c r="AS960"/>
    </row>
    <row r="961" spans="1:45">
      <c r="A961" s="3"/>
      <c r="B961" s="3"/>
      <c r="C961" s="3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/>
      <c r="AK961"/>
      <c r="AL961"/>
      <c r="AM961"/>
      <c r="AN961"/>
      <c r="AO961"/>
      <c r="AP961"/>
      <c r="AQ961"/>
      <c r="AR961"/>
      <c r="AS961"/>
    </row>
    <row r="962" spans="1:45">
      <c r="A962" s="3"/>
      <c r="B962" s="3"/>
      <c r="C962" s="3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/>
      <c r="AK962"/>
      <c r="AL962"/>
      <c r="AM962"/>
      <c r="AN962"/>
      <c r="AO962"/>
      <c r="AP962"/>
      <c r="AQ962"/>
      <c r="AR962"/>
      <c r="AS962"/>
    </row>
    <row r="963" spans="1:45">
      <c r="A963" s="3"/>
      <c r="B963" s="3"/>
      <c r="C963" s="3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/>
      <c r="AK963"/>
      <c r="AL963"/>
      <c r="AM963"/>
      <c r="AN963"/>
      <c r="AO963"/>
      <c r="AP963"/>
      <c r="AQ963"/>
      <c r="AR963"/>
      <c r="AS963"/>
    </row>
    <row r="964" spans="1:45">
      <c r="A964" s="3"/>
      <c r="B964" s="3"/>
      <c r="C964" s="3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/>
      <c r="AK964"/>
      <c r="AL964"/>
      <c r="AM964"/>
      <c r="AN964"/>
      <c r="AO964"/>
      <c r="AP964"/>
      <c r="AQ964"/>
      <c r="AR964"/>
      <c r="AS964"/>
    </row>
    <row r="965" spans="1:45">
      <c r="A965" s="3"/>
      <c r="B965" s="3"/>
      <c r="C965" s="3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/>
      <c r="AK965"/>
      <c r="AL965"/>
      <c r="AM965"/>
      <c r="AN965"/>
      <c r="AO965"/>
      <c r="AP965"/>
      <c r="AQ965"/>
      <c r="AR965"/>
      <c r="AS965"/>
    </row>
    <row r="966" spans="1:45">
      <c r="A966" s="3"/>
      <c r="B966" s="3"/>
      <c r="C966" s="3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/>
      <c r="AK966"/>
      <c r="AL966"/>
      <c r="AM966"/>
      <c r="AN966"/>
      <c r="AO966"/>
      <c r="AP966"/>
      <c r="AQ966"/>
      <c r="AR966"/>
      <c r="AS966"/>
    </row>
    <row r="967" spans="1:45">
      <c r="A967" s="3"/>
      <c r="B967" s="3"/>
      <c r="C967" s="3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/>
      <c r="AK967"/>
      <c r="AL967"/>
      <c r="AM967"/>
      <c r="AN967"/>
      <c r="AO967"/>
      <c r="AP967"/>
      <c r="AQ967"/>
      <c r="AR967"/>
      <c r="AS967"/>
    </row>
    <row r="968" spans="1:45">
      <c r="A968" s="3"/>
      <c r="B968" s="3"/>
      <c r="C968" s="3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/>
      <c r="AK968"/>
      <c r="AL968"/>
      <c r="AM968"/>
      <c r="AN968"/>
      <c r="AO968"/>
      <c r="AP968"/>
      <c r="AQ968"/>
      <c r="AR968"/>
      <c r="AS968"/>
    </row>
    <row r="969" spans="1:45">
      <c r="A969" s="3"/>
      <c r="B969" s="3"/>
      <c r="C969" s="3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/>
      <c r="AK969"/>
      <c r="AL969"/>
      <c r="AM969"/>
      <c r="AN969"/>
      <c r="AO969"/>
      <c r="AP969"/>
      <c r="AQ969"/>
      <c r="AR969"/>
      <c r="AS969"/>
    </row>
    <row r="970" spans="1:45">
      <c r="A970" s="3"/>
      <c r="B970" s="3"/>
      <c r="C970" s="3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/>
      <c r="AK970"/>
      <c r="AL970"/>
      <c r="AM970"/>
      <c r="AN970"/>
      <c r="AO970"/>
      <c r="AP970"/>
      <c r="AQ970"/>
      <c r="AR970"/>
      <c r="AS970"/>
    </row>
    <row r="971" spans="1:45">
      <c r="A971" s="3"/>
      <c r="B971" s="3"/>
      <c r="C971" s="3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/>
      <c r="AK971"/>
      <c r="AL971"/>
      <c r="AM971"/>
      <c r="AN971"/>
      <c r="AO971"/>
      <c r="AP971"/>
      <c r="AQ971"/>
      <c r="AR971"/>
      <c r="AS971"/>
    </row>
    <row r="972" spans="1:45">
      <c r="A972" s="3"/>
      <c r="B972" s="3"/>
      <c r="C972" s="3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/>
      <c r="AK972"/>
      <c r="AL972"/>
      <c r="AM972"/>
      <c r="AN972"/>
      <c r="AO972"/>
      <c r="AP972"/>
      <c r="AQ972"/>
      <c r="AR972"/>
      <c r="AS972"/>
    </row>
    <row r="973" spans="1:45">
      <c r="A973" s="3"/>
      <c r="B973" s="3"/>
      <c r="C973" s="3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/>
      <c r="AK973"/>
      <c r="AL973"/>
      <c r="AM973"/>
      <c r="AN973"/>
      <c r="AO973"/>
      <c r="AP973"/>
      <c r="AQ973"/>
      <c r="AR973"/>
      <c r="AS973"/>
    </row>
    <row r="974" spans="1:45">
      <c r="A974" s="3"/>
      <c r="B974" s="3"/>
      <c r="C974" s="3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/>
      <c r="AK974"/>
      <c r="AL974"/>
      <c r="AM974"/>
      <c r="AN974"/>
      <c r="AO974"/>
      <c r="AP974"/>
      <c r="AQ974"/>
      <c r="AR974"/>
      <c r="AS974"/>
    </row>
    <row r="975" spans="1:45">
      <c r="A975" s="3"/>
      <c r="B975" s="3"/>
      <c r="C975" s="3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/>
      <c r="AK975"/>
      <c r="AL975"/>
      <c r="AM975"/>
      <c r="AN975"/>
      <c r="AO975"/>
      <c r="AP975"/>
      <c r="AQ975"/>
      <c r="AR975"/>
      <c r="AS975"/>
    </row>
    <row r="976" spans="1:45">
      <c r="A976" s="3"/>
      <c r="B976" s="3"/>
      <c r="C976" s="3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/>
      <c r="AK976"/>
      <c r="AL976"/>
      <c r="AM976"/>
      <c r="AN976"/>
      <c r="AO976"/>
      <c r="AP976"/>
      <c r="AQ976"/>
      <c r="AR976"/>
      <c r="AS976"/>
    </row>
    <row r="977" spans="1:45">
      <c r="A977" s="3"/>
      <c r="B977" s="3"/>
      <c r="C977" s="3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/>
      <c r="AK977"/>
      <c r="AL977"/>
      <c r="AM977"/>
      <c r="AN977"/>
      <c r="AO977"/>
      <c r="AP977"/>
      <c r="AQ977"/>
      <c r="AR977"/>
      <c r="AS977"/>
    </row>
    <row r="978" spans="1:45">
      <c r="A978" s="3"/>
      <c r="B978" s="3"/>
      <c r="C978" s="3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/>
      <c r="AK978"/>
      <c r="AL978"/>
      <c r="AM978"/>
      <c r="AN978"/>
      <c r="AO978"/>
      <c r="AP978"/>
      <c r="AQ978"/>
      <c r="AR978"/>
      <c r="AS978"/>
    </row>
    <row r="979" spans="1:45">
      <c r="A979" s="3"/>
      <c r="B979" s="3"/>
      <c r="C979" s="3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/>
      <c r="AK979"/>
      <c r="AL979"/>
      <c r="AM979"/>
      <c r="AN979"/>
      <c r="AO979"/>
      <c r="AP979"/>
      <c r="AQ979"/>
      <c r="AR979"/>
      <c r="AS979"/>
    </row>
    <row r="980" spans="1:45">
      <c r="A980" s="3"/>
      <c r="B980" s="3"/>
      <c r="C980" s="3"/>
      <c r="D980" s="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/>
      <c r="AK980"/>
      <c r="AL980"/>
      <c r="AM980"/>
      <c r="AN980"/>
      <c r="AO980"/>
      <c r="AP980"/>
      <c r="AQ980"/>
      <c r="AR980"/>
      <c r="AS980"/>
    </row>
    <row r="981" spans="1:45">
      <c r="A981" s="3"/>
      <c r="B981" s="3"/>
      <c r="C981" s="3"/>
      <c r="D981" s="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/>
      <c r="AK981"/>
      <c r="AL981"/>
      <c r="AM981"/>
      <c r="AN981"/>
      <c r="AO981"/>
      <c r="AP981"/>
      <c r="AQ981"/>
      <c r="AR981"/>
      <c r="AS981"/>
    </row>
    <row r="982" spans="1:45">
      <c r="A982" s="3"/>
      <c r="B982" s="3"/>
      <c r="C982" s="3"/>
      <c r="D982" s="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/>
      <c r="AK982"/>
      <c r="AL982"/>
      <c r="AM982"/>
      <c r="AN982"/>
      <c r="AO982"/>
      <c r="AP982"/>
      <c r="AQ982"/>
      <c r="AR982"/>
      <c r="AS982"/>
    </row>
    <row r="983" spans="1:45">
      <c r="A983" s="3"/>
      <c r="B983" s="3"/>
      <c r="C983" s="3"/>
      <c r="D983" s="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/>
      <c r="AK983"/>
      <c r="AL983"/>
      <c r="AM983"/>
      <c r="AN983"/>
      <c r="AO983"/>
      <c r="AP983"/>
      <c r="AQ983"/>
      <c r="AR983"/>
      <c r="AS983"/>
    </row>
    <row r="984" spans="1:45">
      <c r="A984" s="3"/>
      <c r="B984" s="3"/>
      <c r="C984" s="3"/>
      <c r="D984" s="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/>
      <c r="AK984"/>
      <c r="AL984"/>
      <c r="AM984"/>
      <c r="AN984"/>
      <c r="AO984"/>
      <c r="AP984"/>
      <c r="AQ984"/>
      <c r="AR984"/>
      <c r="AS984"/>
    </row>
    <row r="985" spans="1:45">
      <c r="A985" s="3"/>
      <c r="B985" s="3"/>
      <c r="C985" s="3"/>
      <c r="D985" s="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/>
      <c r="AK985"/>
      <c r="AL985"/>
      <c r="AM985"/>
      <c r="AN985"/>
      <c r="AO985"/>
      <c r="AP985"/>
      <c r="AQ985"/>
      <c r="AR985"/>
      <c r="AS985"/>
    </row>
    <row r="986" spans="1:45">
      <c r="A986" s="3"/>
      <c r="B986" s="3"/>
      <c r="C986" s="3"/>
      <c r="D986" s="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/>
      <c r="AK986"/>
      <c r="AL986"/>
      <c r="AM986"/>
      <c r="AN986"/>
      <c r="AO986"/>
      <c r="AP986"/>
      <c r="AQ986"/>
      <c r="AR986"/>
      <c r="AS986"/>
    </row>
    <row r="987" spans="1:45">
      <c r="A987" s="3"/>
      <c r="B987" s="3"/>
      <c r="C987" s="3"/>
      <c r="D987" s="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/>
      <c r="AK987"/>
      <c r="AL987"/>
      <c r="AM987"/>
      <c r="AN987"/>
      <c r="AO987"/>
      <c r="AP987"/>
      <c r="AQ987"/>
      <c r="AR987"/>
      <c r="AS987"/>
    </row>
    <row r="988" spans="1:45">
      <c r="A988" s="3"/>
      <c r="B988" s="3"/>
      <c r="C988" s="3"/>
      <c r="D988" s="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/>
      <c r="AK988"/>
      <c r="AL988"/>
      <c r="AM988"/>
      <c r="AN988"/>
      <c r="AO988"/>
      <c r="AP988"/>
      <c r="AQ988"/>
      <c r="AR988"/>
      <c r="AS988"/>
    </row>
    <row r="989" spans="1:45">
      <c r="A989" s="3"/>
      <c r="B989" s="3"/>
      <c r="C989" s="3"/>
      <c r="D989" s="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/>
      <c r="AK989"/>
      <c r="AL989"/>
      <c r="AM989"/>
      <c r="AN989"/>
      <c r="AO989"/>
      <c r="AP989"/>
      <c r="AQ989"/>
      <c r="AR989"/>
      <c r="AS989"/>
    </row>
    <row r="990" spans="1:45">
      <c r="A990" s="3"/>
      <c r="B990" s="3"/>
      <c r="C990" s="3"/>
      <c r="D990" s="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/>
      <c r="AK990"/>
      <c r="AL990"/>
      <c r="AM990"/>
      <c r="AN990"/>
      <c r="AO990"/>
      <c r="AP990"/>
      <c r="AQ990"/>
      <c r="AR990"/>
      <c r="AS990"/>
    </row>
    <row r="991" spans="1:45">
      <c r="A991" s="3"/>
      <c r="B991" s="3"/>
      <c r="C991" s="3"/>
      <c r="D991" s="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/>
      <c r="AK991"/>
      <c r="AL991"/>
      <c r="AM991"/>
      <c r="AN991"/>
      <c r="AO991"/>
      <c r="AP991"/>
      <c r="AQ991"/>
      <c r="AR991"/>
      <c r="AS991"/>
    </row>
    <row r="992" spans="1:45">
      <c r="A992" s="3"/>
      <c r="B992" s="3"/>
      <c r="C992" s="3"/>
      <c r="D992" s="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/>
      <c r="AK992"/>
      <c r="AL992"/>
      <c r="AM992"/>
      <c r="AN992"/>
      <c r="AO992"/>
      <c r="AP992"/>
      <c r="AQ992"/>
      <c r="AR992"/>
      <c r="AS992"/>
    </row>
    <row r="993" spans="1:45">
      <c r="A993" s="3"/>
      <c r="B993" s="3"/>
      <c r="C993" s="3"/>
      <c r="D993" s="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/>
      <c r="AK993"/>
      <c r="AL993"/>
      <c r="AM993"/>
      <c r="AN993"/>
      <c r="AO993"/>
      <c r="AP993"/>
      <c r="AQ993"/>
      <c r="AR993"/>
      <c r="AS993"/>
    </row>
    <row r="994" spans="1:45">
      <c r="A994" s="3"/>
      <c r="B994" s="3"/>
      <c r="C994" s="3"/>
      <c r="D994" s="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/>
      <c r="AK994"/>
      <c r="AL994"/>
      <c r="AM994"/>
      <c r="AN994"/>
      <c r="AO994"/>
      <c r="AP994"/>
      <c r="AQ994"/>
      <c r="AR994"/>
      <c r="AS994"/>
    </row>
    <row r="995" spans="1:45">
      <c r="A995" s="3"/>
      <c r="B995" s="3"/>
      <c r="C995" s="3"/>
      <c r="D995" s="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/>
      <c r="AK995"/>
      <c r="AL995"/>
      <c r="AM995"/>
      <c r="AN995"/>
      <c r="AO995"/>
      <c r="AP995"/>
      <c r="AQ995"/>
      <c r="AR995"/>
      <c r="AS995"/>
    </row>
    <row r="996" spans="1:45">
      <c r="A996" s="3"/>
      <c r="B996" s="3"/>
      <c r="C996" s="3"/>
      <c r="D996" s="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/>
      <c r="AK996"/>
      <c r="AL996"/>
      <c r="AM996"/>
      <c r="AN996"/>
      <c r="AO996"/>
      <c r="AP996"/>
      <c r="AQ996"/>
      <c r="AR996"/>
      <c r="AS996"/>
    </row>
    <row r="997" spans="1:45">
      <c r="A997" s="3"/>
      <c r="B997" s="3"/>
      <c r="C997" s="3"/>
      <c r="D997" s="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/>
      <c r="AK997"/>
      <c r="AL997"/>
      <c r="AM997"/>
      <c r="AN997"/>
      <c r="AO997"/>
      <c r="AP997"/>
      <c r="AQ997"/>
      <c r="AR997"/>
      <c r="AS997"/>
    </row>
    <row r="998" spans="1:45">
      <c r="A998" s="3"/>
      <c r="B998" s="3"/>
      <c r="C998" s="3"/>
      <c r="D998" s="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/>
      <c r="AK998"/>
      <c r="AL998"/>
      <c r="AM998"/>
      <c r="AN998"/>
      <c r="AO998"/>
      <c r="AP998"/>
      <c r="AQ998"/>
      <c r="AR998"/>
      <c r="AS998"/>
    </row>
    <row r="999" spans="1:45">
      <c r="A999" s="3"/>
      <c r="B999" s="3"/>
      <c r="C999" s="3"/>
      <c r="D999" s="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/>
      <c r="AK999"/>
      <c r="AL999"/>
      <c r="AM999"/>
      <c r="AN999"/>
      <c r="AO999"/>
      <c r="AP999"/>
      <c r="AQ999"/>
      <c r="AR999"/>
      <c r="AS999"/>
    </row>
    <row r="1000" spans="1:45">
      <c r="A1000" s="3"/>
      <c r="B1000" s="3"/>
      <c r="C1000" s="3"/>
      <c r="D1000" s="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/>
      <c r="AK1000"/>
      <c r="AL1000"/>
      <c r="AM1000"/>
      <c r="AN1000"/>
      <c r="AO1000"/>
      <c r="AP1000"/>
      <c r="AQ1000"/>
      <c r="AR1000"/>
      <c r="AS1000"/>
    </row>
    <row r="1001" spans="1:45">
      <c r="A1001" s="3"/>
      <c r="B1001" s="3"/>
      <c r="C1001" s="3"/>
      <c r="D1001" s="3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/>
      <c r="AK1001"/>
      <c r="AL1001"/>
      <c r="AM1001"/>
      <c r="AN1001"/>
      <c r="AO1001"/>
      <c r="AP1001"/>
      <c r="AQ1001"/>
      <c r="AR1001"/>
      <c r="AS1001"/>
    </row>
    <row r="1002" spans="1:45">
      <c r="A1002" s="3"/>
      <c r="B1002" s="3"/>
      <c r="C1002" s="3"/>
      <c r="D1002" s="3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/>
      <c r="AK1002"/>
      <c r="AL1002"/>
      <c r="AM1002"/>
      <c r="AN1002"/>
      <c r="AO1002"/>
      <c r="AP1002"/>
      <c r="AQ1002"/>
      <c r="AR1002"/>
      <c r="AS1002"/>
    </row>
    <row r="1003" spans="1:45">
      <c r="A1003" s="3"/>
      <c r="B1003" s="3"/>
      <c r="C1003" s="3"/>
      <c r="D1003" s="3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/>
      <c r="AK1003"/>
      <c r="AL1003"/>
      <c r="AM1003"/>
      <c r="AN1003"/>
      <c r="AO1003"/>
      <c r="AP1003"/>
      <c r="AQ1003"/>
      <c r="AR1003"/>
      <c r="AS1003"/>
    </row>
    <row r="1004" spans="1:45">
      <c r="A1004" s="3"/>
      <c r="B1004" s="3"/>
      <c r="C1004" s="3"/>
      <c r="D1004" s="3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/>
      <c r="AK1004"/>
      <c r="AL1004"/>
      <c r="AM1004"/>
      <c r="AN1004"/>
      <c r="AO1004"/>
      <c r="AP1004"/>
      <c r="AQ1004"/>
      <c r="AR1004"/>
      <c r="AS1004"/>
    </row>
    <row r="1005" spans="1:45">
      <c r="A1005" s="3"/>
      <c r="B1005" s="3"/>
      <c r="C1005" s="3"/>
      <c r="D1005" s="3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/>
      <c r="AK1005"/>
      <c r="AL1005"/>
      <c r="AM1005"/>
      <c r="AN1005"/>
      <c r="AO1005"/>
      <c r="AP1005"/>
      <c r="AQ1005"/>
      <c r="AR1005"/>
      <c r="AS1005"/>
    </row>
  </sheetData>
  <sheetProtection password="E9D6" sheet="1"/>
  <mergeCells count="9">
    <mergeCell ref="A1:AI1"/>
    <mergeCell ref="A2:D2"/>
    <mergeCell ref="E2:AI2"/>
    <mergeCell ref="A3:D3"/>
    <mergeCell ref="E3:AI3"/>
    <mergeCell ref="A4:A5"/>
    <mergeCell ref="B4:B5"/>
    <mergeCell ref="C4:C5"/>
    <mergeCell ref="D4:D5"/>
  </mergeCells>
  <pageMargins left="0.59027777777777779" right="0.59027777777777779" top="0.59027777777777779" bottom="0.59027777777777779" header="0.31458333333333333" footer="0.31458333333333333"/>
  <pageSetup paperSize="9" firstPageNumber="4294963191" orientation="landscape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Ajuste de Horarios</vt:lpstr>
      <vt:lpstr>Ajuste de Turnos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Arturo Venegas Lopez</cp:lastModifiedBy>
  <dcterms:created xsi:type="dcterms:W3CDTF">2026-02-26T21:18:53Z</dcterms:created>
  <dcterms:modified xsi:type="dcterms:W3CDTF">2026-02-26T21:20:01Z</dcterms:modified>
</cp:coreProperties>
</file>